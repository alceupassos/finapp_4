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inanceif.sharepoint.com/sites/iFinance/Shared Documents/Dados/IFINANCE MATRIZ/CLIENTES/VILA CANTAREIRA RESTAURANTE/FP&amp;A/Outubro 2025/"/>
    </mc:Choice>
  </mc:AlternateContent>
  <xr:revisionPtr revIDLastSave="21" documentId="11_2F1A98503A6D3D460A855552D46F34A97BDCE5EF" xr6:coauthVersionLast="47" xr6:coauthVersionMax="47" xr10:uidLastSave="{32083DC7-5F62-4C30-9FFE-D375F8CFB0F5}"/>
  <bookViews>
    <workbookView xWindow="-120" yWindow="-120" windowWidth="29040" windowHeight="15720" activeTab="1" xr2:uid="{00000000-000D-0000-FFFF-FFFF00000000}"/>
  </bookViews>
  <sheets>
    <sheet name="DRE" sheetId="1" r:id="rId1"/>
    <sheet name="DF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9" i="1" l="1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</calcChain>
</file>

<file path=xl/sharedStrings.xml><?xml version="1.0" encoding="utf-8"?>
<sst xmlns="http://schemas.openxmlformats.org/spreadsheetml/2006/main" count="253" uniqueCount="134">
  <si>
    <t>Demonstrativo de Resultados</t>
  </si>
  <si>
    <t>2025</t>
  </si>
  <si>
    <t>Nome da Empresa: VILA CANTAREIRA RESTAURANTE E HOTELARIA LTDA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</si>
  <si>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</si>
  <si>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</si>
  <si>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</si>
  <si>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</si>
  <si>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</si>
  <si>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</si>
  <si>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</si>
  <si>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</si>
  <si>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</si>
  <si>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</si>
  <si>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Total</t>
  </si>
  <si>
    <t>Receitas Operacionais</t>
  </si>
  <si>
    <t xml:space="preserve">    Vendas de Mercadorias</t>
  </si>
  <si>
    <t xml:space="preserve">    102-1 - Vendas de Produtos</t>
  </si>
  <si>
    <t xml:space="preserve">    102-1 - Vendas de Produtos - Débito e Crédito</t>
  </si>
  <si>
    <t xml:space="preserve">    102-1 - Vendas de Produtos - Transferência / PIX</t>
  </si>
  <si>
    <t xml:space="preserve">    302-1 - Receitas Diversas</t>
  </si>
  <si>
    <t xml:space="preserve">    Ajustes a Crédito de Cartão</t>
  </si>
  <si>
    <t>Deduções de Receitas</t>
  </si>
  <si>
    <t xml:space="preserve">    Taxa Administrativa de Cartões</t>
  </si>
  <si>
    <t xml:space="preserve">    Taxa de Antecipação de Cartões de Crédito</t>
  </si>
  <si>
    <t xml:space="preserve">    Ajustes a Débito de Cartão</t>
  </si>
  <si>
    <t xml:space="preserve">    102-1 - Vendas Canceladas</t>
  </si>
  <si>
    <t xml:space="preserve">    431-9 - Tarifa de Cartao / Meios de Pagamento - Aluguel de POS / Outras Taxas</t>
  </si>
  <si>
    <t xml:space="preserve">    431-9 - Tarifa de Cartao / Meios de Pagamento - Antecipação</t>
  </si>
  <si>
    <t xml:space="preserve">    431-9 - Tarifa de Cartao / Meios de Pagamento - Padrão</t>
  </si>
  <si>
    <t>Impostos Sobre o Faturamento</t>
  </si>
  <si>
    <t xml:space="preserve">    205-0 - ICMS</t>
  </si>
  <si>
    <t xml:space="preserve">    205-2 - Simples Nacional</t>
  </si>
  <si>
    <t>Despesas Operacionais</t>
  </si>
  <si>
    <t xml:space="preserve">    426-4 - Servico de motoboy</t>
  </si>
  <si>
    <t xml:space="preserve">    400-0 - Custo de Embalagens</t>
  </si>
  <si>
    <t xml:space="preserve">    201-6 - OP Salarios</t>
  </si>
  <si>
    <t xml:space="preserve">    202-0 - OP Rescisoes</t>
  </si>
  <si>
    <t xml:space="preserve">    400-0 - Custo de Mercadorias Vendidas</t>
  </si>
  <si>
    <t xml:space="preserve">    403-9 - OP Vale Transporte</t>
  </si>
  <si>
    <t xml:space="preserve">    409-7 - Serviços Terceiros PF</t>
  </si>
  <si>
    <t>% Custo Serviço / Mercadoria</t>
  </si>
  <si>
    <t>Margem de Contribuição</t>
  </si>
  <si>
    <t>%Mgcontribuição</t>
  </si>
  <si>
    <t>Despesas Com Pessoal</t>
  </si>
  <si>
    <t xml:space="preserve">    201-6 - Salarios e Ordenados</t>
  </si>
  <si>
    <t xml:space="preserve">    201-8 - Ferias</t>
  </si>
  <si>
    <t xml:space="preserve">    202-0 - Rescisoes</t>
  </si>
  <si>
    <t xml:space="preserve">    203-0 - INSS</t>
  </si>
  <si>
    <t xml:space="preserve">    203-1 - FGTS</t>
  </si>
  <si>
    <t xml:space="preserve">    415-8 - Outras Despesas Com Funcionarios</t>
  </si>
  <si>
    <t xml:space="preserve">    416-8 - Vale Transporte</t>
  </si>
  <si>
    <t xml:space="preserve">    418-0 - Farmacia</t>
  </si>
  <si>
    <t xml:space="preserve">    418-3 - Curso e Treinamento</t>
  </si>
  <si>
    <t xml:space="preserve">    419-4 - Outros Beneficios</t>
  </si>
  <si>
    <t>Despesas Administrativas</t>
  </si>
  <si>
    <t xml:space="preserve">    420-2 - Energia Eletrica</t>
  </si>
  <si>
    <t xml:space="preserve">    420-3 - Agua e Esgoto</t>
  </si>
  <si>
    <t xml:space="preserve">    420-5 - Aluguel</t>
  </si>
  <si>
    <t xml:space="preserve">    420-6 - Manut e Conservacao Predial</t>
  </si>
  <si>
    <t xml:space="preserve">    420-7 - Telefonia</t>
  </si>
  <si>
    <t xml:space="preserve">    420-8 - Condominio</t>
  </si>
  <si>
    <t xml:space="preserve">    420-9 - Uniformes</t>
  </si>
  <si>
    <t xml:space="preserve">    421-2 - Manutencao e Reparos</t>
  </si>
  <si>
    <t xml:space="preserve">    421-4 - Manutencao de veiculos</t>
  </si>
  <si>
    <t xml:space="preserve">    421-8 - Correios e fretes</t>
  </si>
  <si>
    <t xml:space="preserve">    421-9 - Seguros</t>
  </si>
  <si>
    <t xml:space="preserve">    422-1 - Combustivel</t>
  </si>
  <si>
    <t xml:space="preserve">    422-2 - Copa e Cozinha</t>
  </si>
  <si>
    <t xml:space="preserve">    422-6 - Aluguel de Equipamento</t>
  </si>
  <si>
    <t xml:space="preserve">    422-9 - Material de Escritorio</t>
  </si>
  <si>
    <t xml:space="preserve">    423-5 - Estacionamento</t>
  </si>
  <si>
    <t xml:space="preserve">    423-6 - Material de Limpeza</t>
  </si>
  <si>
    <t xml:space="preserve">    425-1 - Outras Despesas</t>
  </si>
  <si>
    <t xml:space="preserve">    425-5 - Consultoria</t>
  </si>
  <si>
    <t xml:space="preserve">    425-6 - Contabilidade</t>
  </si>
  <si>
    <t xml:space="preserve">    425-8 - Juridico</t>
  </si>
  <si>
    <t xml:space="preserve">    425-9 - Limpeza</t>
  </si>
  <si>
    <t xml:space="preserve">    430-1 - IPTU</t>
  </si>
  <si>
    <t xml:space="preserve">    430-2 - IPVA</t>
  </si>
  <si>
    <t xml:space="preserve">    430-7 - IOF</t>
  </si>
  <si>
    <t xml:space="preserve">    431-3 - Taxas e Emolumentos</t>
  </si>
  <si>
    <t xml:space="preserve">    431-8 - Multa e Juros Sobre Contas Pg em Atraso</t>
  </si>
  <si>
    <t xml:space="preserve">    434-1 - Exames ocupacionais</t>
  </si>
  <si>
    <t xml:space="preserve">    434-6 - Impostos retidos</t>
  </si>
  <si>
    <t>Despesas Comerciais e Marketing</t>
  </si>
  <si>
    <t xml:space="preserve">    411-2 - Refeicoes e Lanches</t>
  </si>
  <si>
    <t xml:space="preserve">    412-5 - Outras Despesas com Vendas</t>
  </si>
  <si>
    <t xml:space="preserve">    412-7 - Comissoes e Prêmios Sobre Vendas</t>
  </si>
  <si>
    <t xml:space="preserve">    413-0 - Outras Despesas Comerciais</t>
  </si>
  <si>
    <t xml:space="preserve">    427-9 - Publicidade e Propaganda</t>
  </si>
  <si>
    <t xml:space="preserve">    428-1 - Agencia e Assessoria</t>
  </si>
  <si>
    <t xml:space="preserve">    428-3 - Producao de Material</t>
  </si>
  <si>
    <t xml:space="preserve">    434-2 - Criação e manutenção de site</t>
  </si>
  <si>
    <t xml:space="preserve">    434-3 - Google e Redes Sociais</t>
  </si>
  <si>
    <t xml:space="preserve">    434-4 - Marketing Digital</t>
  </si>
  <si>
    <t>Despesas Com TI</t>
  </si>
  <si>
    <t xml:space="preserve">    423-4 - Internet</t>
  </si>
  <si>
    <t xml:space="preserve">    427-0 - Sistema de Gestao</t>
  </si>
  <si>
    <t>EBITDA</t>
  </si>
  <si>
    <t>%MgEbitda</t>
  </si>
  <si>
    <t>Receitas Financeiras</t>
  </si>
  <si>
    <t xml:space="preserve">    303-2 - Rendimento de Aplic Financeira</t>
  </si>
  <si>
    <t xml:space="preserve">    303-4 - Descontos Obtidos</t>
  </si>
  <si>
    <t>Despesas Financeiras</t>
  </si>
  <si>
    <t xml:space="preserve">    431-5 - Despesas Bancarias</t>
  </si>
  <si>
    <t xml:space="preserve">    432-0 - Juros Passivos</t>
  </si>
  <si>
    <t>Imposto de Renda e Contribuição Social</t>
  </si>
  <si>
    <t>Resultado Liquido</t>
  </si>
  <si>
    <t>%MgLíquida</t>
  </si>
  <si>
    <t>Outras Receitas</t>
  </si>
  <si>
    <t xml:space="preserve">    208-8 - Outros Adiantamentos de Clientes</t>
  </si>
  <si>
    <t xml:space="preserve">    302-3 - Reembolso de Despesas</t>
  </si>
  <si>
    <t xml:space="preserve">    Outras Entradas - Coligadas</t>
  </si>
  <si>
    <t>Investimentos e Outros</t>
  </si>
  <si>
    <t xml:space="preserve">    103-2 - Adiantamento a Fornecedor</t>
  </si>
  <si>
    <t xml:space="preserve">    112-5 - Maquinas e Equipamentos</t>
  </si>
  <si>
    <t xml:space="preserve">    112-8 - Sistemas e Aplicativos</t>
  </si>
  <si>
    <t xml:space="preserve">    112-9 - Moveis e Utensilios</t>
  </si>
  <si>
    <t xml:space="preserve">    113-0 - Veiculos</t>
  </si>
  <si>
    <t xml:space="preserve">    200-8 - Pagto Empréstimos e Financiamentos</t>
  </si>
  <si>
    <t xml:space="preserve">    Outras Saídas - Conta Corrente dos Sócios</t>
  </si>
  <si>
    <t>Estorno de Entradas</t>
  </si>
  <si>
    <t xml:space="preserve">    Estorno de Valores - Entradas</t>
  </si>
  <si>
    <t>Estorno de Saidas</t>
  </si>
  <si>
    <t xml:space="preserve">    Estorno de Valores - Saídas</t>
  </si>
  <si>
    <t>Superavit/Deficit de Caixa</t>
  </si>
  <si>
    <t>Projeção de Ponto de Equilíbrio</t>
  </si>
  <si>
    <t>Demonstrativo de Fluxo de Caixa</t>
  </si>
  <si>
    <t>I - OPERACIONAL - SUPERAVIT/DEFICIT</t>
  </si>
  <si>
    <t>II - FINANCEIRO - SUPERAVIT/DEFICIT</t>
  </si>
  <si>
    <t>III - INVESTIMENTOS E OUTROS - SUPERAVIT/DEFICIT</t>
  </si>
  <si>
    <t>TOTAL - SUPERAVIT/DEFICIT DE CAIXA</t>
  </si>
  <si>
    <t>Saldo Total Inicial</t>
  </si>
  <si>
    <t>Salto 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</si>
</sst>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b/>
      <sz val="14"/>
      <name val="Aptos Narrow"/>
      <family val="2"/>
    </font>
    <font>
      <b/>
      <sz val="11"/>
      <color rgb="FF00687B"/>
      <name val="Aptos Narrow"/>
      <family val="2"/>
    </font>
    <font>
      <b/>
      <sz val="11"/>
      <color rgb="FFFFFFFF"/>
      <name val="Aptos Narrow"/>
      <family val="2"/>
    </font>
    <font>
      <b/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687B"/>
      </patternFill>
    </fill>
    <fill>
      <patternFill patternType="solid">
        <fgColor rgb="FF000000"/>
      </patternFill>
    </fill>
    <fill>
      <patternFill patternType="solid">
        <fgColor rgb="FFE7E2E2"/>
      </patternFill>
    </fill>
    <fill>
      <patternFill patternType="solid">
        <fgColor rgb="FFDCE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4" fontId="0" fillId="0" borderId="0" xfId="0" applyNumberFormat="1"/>
    <xf numFmtId="0" fontId="0" fillId="4" borderId="0" xfId="0" applyFill="1"/>
    <xf numFmtId="4" fontId="0" fillId="4" borderId="0" xfId="0" applyNumberFormat="1" applyFill="1"/>
    <xf numFmtId="4" fontId="2" fillId="5" borderId="0" xfId="0" applyNumberFormat="1" applyFont="1" applyFill="1"/>
    <xf numFmtId="0" fontId="2" fillId="5" borderId="0" xfId="0" applyFont="1" applyFill="1"/>
    <xf numFmtId="4" fontId="4" fillId="5" borderId="0" xfId="0" applyNumberFormat="1" applyFont="1" applyFill="1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3050" cy="666750"/>
    <xdr:pic>
      <xdr:nvPicPr>
        <xdr:cNvPr id="2" name="LogoEmpr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6242" cy="669207"/>
    <xdr:pic>
      <xdr:nvPicPr>
        <xdr:cNvPr id="3" name="LogoEmpres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1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119" sqref="A1:L119"/>
    </sheetView>
  </sheetViews>
  <sheetFormatPr defaultRowHeight="15" outlineLevelRow="1"/>
  <cols>
    <col min="1" max="1" width="38.28515625" customWidth="1"/>
    <col min="2" max="11" width="14" customWidth="1"/>
    <col min="12" max="12" width="16.42578125" customWidth="1"/>
  </cols>
  <sheetData>
    <row r="1" spans="1:12" ht="60" customHeight="1">
      <c r="C1" s="10" t="s">
        <v>0</v>
      </c>
      <c r="D1" s="11"/>
      <c r="E1" s="11"/>
      <c r="F1" s="11"/>
      <c r="G1" s="11"/>
      <c r="H1" s="11"/>
      <c r="I1" s="11"/>
      <c r="J1" s="11"/>
      <c r="K1" s="11"/>
      <c r="L1" s="11"/>
    </row>
    <row r="2" spans="1:12">
      <c r="C2" s="12" t="s">
        <v>1</v>
      </c>
      <c r="D2" s="11"/>
      <c r="E2" s="11"/>
      <c r="F2" s="11"/>
      <c r="G2" s="11"/>
      <c r="H2" s="11"/>
      <c r="I2" s="11"/>
      <c r="J2" s="11"/>
      <c r="K2" s="11"/>
      <c r="L2" s="11"/>
    </row>
    <row r="3" spans="1:12" ht="5.099999999999999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3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3" t="s">
        <v>0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</row>
    <row r="7" spans="1:12" collapsed="1">
      <c r="A7" s="5" t="s">
        <v>14</v>
      </c>
      <c r="B7" s="6">
        <v>193047.23</v>
      </c>
      <c r="C7" s="6">
        <v>144092.91</v>
      </c>
      <c r="D7" s="6">
        <v>229176.02</v>
      </c>
      <c r="E7" s="6">
        <v>214277.74</v>
      </c>
      <c r="F7" s="6">
        <v>313563.09999999998</v>
      </c>
      <c r="G7" s="6">
        <v>331679.13</v>
      </c>
      <c r="H7" s="6">
        <v>300199.33</v>
      </c>
      <c r="I7" s="6">
        <v>277241.52</v>
      </c>
      <c r="J7" s="6">
        <v>215666.47</v>
      </c>
      <c r="K7" s="6">
        <v>200309.75</v>
      </c>
      <c r="L7" s="6">
        <f>SUM(B7:K7)</f>
        <v>2419253.2000000002</v>
      </c>
    </row>
    <row r="8" spans="1:12" hidden="1" outlineLevel="1" collapsed="1">
      <c r="A8" t="s">
        <v>15</v>
      </c>
      <c r="B8" s="4">
        <v>0</v>
      </c>
      <c r="C8" s="4">
        <v>30857.51</v>
      </c>
      <c r="D8" s="4">
        <v>77483.94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f t="shared" ref="L8:L71" si="0">SUM(B8:K8)</f>
        <v>108341.45</v>
      </c>
    </row>
    <row r="9" spans="1:12" hidden="1" outlineLevel="1" collapsed="1">
      <c r="A9" t="s">
        <v>16</v>
      </c>
      <c r="B9" s="4">
        <v>9733.25</v>
      </c>
      <c r="C9" s="4">
        <v>6784.66</v>
      </c>
      <c r="D9" s="4">
        <v>12405.75</v>
      </c>
      <c r="E9" s="4">
        <v>8014</v>
      </c>
      <c r="F9" s="4">
        <v>13146.33</v>
      </c>
      <c r="G9" s="4">
        <v>12580.92</v>
      </c>
      <c r="H9" s="4">
        <v>15932.97</v>
      </c>
      <c r="I9" s="4">
        <v>11920.51</v>
      </c>
      <c r="J9" s="4">
        <v>26038.75</v>
      </c>
      <c r="K9" s="4">
        <v>11073.43</v>
      </c>
      <c r="L9" s="4">
        <f t="shared" si="0"/>
        <v>127630.57</v>
      </c>
    </row>
    <row r="10" spans="1:12" hidden="1" outlineLevel="1" collapsed="1">
      <c r="A10" t="s">
        <v>17</v>
      </c>
      <c r="B10" s="4">
        <v>159856.25</v>
      </c>
      <c r="C10" s="4">
        <v>84998.32</v>
      </c>
      <c r="D10" s="4">
        <v>103507.31</v>
      </c>
      <c r="E10" s="4">
        <v>166424.62</v>
      </c>
      <c r="F10" s="4">
        <v>261247.26</v>
      </c>
      <c r="G10" s="4">
        <v>277056.39</v>
      </c>
      <c r="H10" s="4">
        <v>250920.45</v>
      </c>
      <c r="I10" s="4">
        <v>233610.05</v>
      </c>
      <c r="J10" s="4">
        <v>161403.4</v>
      </c>
      <c r="K10" s="4">
        <v>158014.84</v>
      </c>
      <c r="L10" s="4">
        <f t="shared" si="0"/>
        <v>1857038.89</v>
      </c>
    </row>
    <row r="11" spans="1:12" hidden="1" outlineLevel="1" collapsed="1">
      <c r="A11" t="s">
        <v>18</v>
      </c>
      <c r="B11" s="4">
        <v>23457.73</v>
      </c>
      <c r="C11" s="4">
        <v>21452.42</v>
      </c>
      <c r="D11" s="4">
        <v>35499.019999999997</v>
      </c>
      <c r="E11" s="4">
        <v>39839.120000000003</v>
      </c>
      <c r="F11" s="4">
        <v>39169.51</v>
      </c>
      <c r="G11" s="4">
        <v>42041.82</v>
      </c>
      <c r="H11" s="4">
        <v>33343.589999999997</v>
      </c>
      <c r="I11" s="4">
        <v>31710.959999999999</v>
      </c>
      <c r="J11" s="4">
        <v>28224.28</v>
      </c>
      <c r="K11" s="4">
        <v>31221.43</v>
      </c>
      <c r="L11" s="4">
        <f t="shared" si="0"/>
        <v>325959.87999999995</v>
      </c>
    </row>
    <row r="12" spans="1:12" hidden="1" outlineLevel="1" collapsed="1">
      <c r="A12" t="s">
        <v>19</v>
      </c>
      <c r="B12" s="4">
        <v>0</v>
      </c>
      <c r="C12" s="4">
        <v>0</v>
      </c>
      <c r="D12" s="4">
        <v>280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f t="shared" si="0"/>
        <v>280</v>
      </c>
    </row>
    <row r="13" spans="1:12" hidden="1" outlineLevel="1" collapsed="1">
      <c r="A13" t="s">
        <v>20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2.3199999999999998</v>
      </c>
      <c r="I13" s="4">
        <v>0</v>
      </c>
      <c r="J13" s="4">
        <v>0.04</v>
      </c>
      <c r="K13" s="4">
        <v>0.05</v>
      </c>
      <c r="L13" s="4">
        <f t="shared" si="0"/>
        <v>2.4099999999999997</v>
      </c>
    </row>
    <row r="14" spans="1:12" collapsed="1">
      <c r="A14" s="5" t="s">
        <v>21</v>
      </c>
      <c r="B14" s="6">
        <v>4567.21</v>
      </c>
      <c r="C14" s="6">
        <v>3257.87</v>
      </c>
      <c r="D14" s="6">
        <v>4891.5600000000004</v>
      </c>
      <c r="E14" s="6">
        <v>4503.6899999999996</v>
      </c>
      <c r="F14" s="6">
        <v>6658.83</v>
      </c>
      <c r="G14" s="6">
        <v>7500.71</v>
      </c>
      <c r="H14" s="6">
        <v>6996.6</v>
      </c>
      <c r="I14" s="6">
        <v>6129.82</v>
      </c>
      <c r="J14" s="6">
        <v>4458.8</v>
      </c>
      <c r="K14" s="6">
        <v>5105.1499999999996</v>
      </c>
      <c r="L14" s="6">
        <f t="shared" si="0"/>
        <v>54070.239999999998</v>
      </c>
    </row>
    <row r="15" spans="1:12" hidden="1" outlineLevel="1" collapsed="1">
      <c r="A15" t="s">
        <v>22</v>
      </c>
      <c r="B15" s="4">
        <v>0</v>
      </c>
      <c r="C15" s="4">
        <v>600.62</v>
      </c>
      <c r="D15" s="4">
        <v>1265.72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f t="shared" si="0"/>
        <v>1866.3400000000001</v>
      </c>
    </row>
    <row r="16" spans="1:12" hidden="1" outlineLevel="1" collapsed="1">
      <c r="A16" t="s">
        <v>23</v>
      </c>
      <c r="B16" s="4">
        <v>0</v>
      </c>
      <c r="C16" s="4">
        <v>231.6</v>
      </c>
      <c r="D16" s="4">
        <v>596.79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f t="shared" si="0"/>
        <v>828.39</v>
      </c>
    </row>
    <row r="17" spans="1:12" hidden="1" outlineLevel="1" collapsed="1">
      <c r="A17" t="s">
        <v>24</v>
      </c>
      <c r="B17" s="4">
        <v>0</v>
      </c>
      <c r="C17" s="4">
        <v>0</v>
      </c>
      <c r="D17" s="4">
        <v>511.99</v>
      </c>
      <c r="E17" s="4">
        <v>708.36</v>
      </c>
      <c r="F17" s="4">
        <v>795.1</v>
      </c>
      <c r="G17" s="4">
        <v>795.1</v>
      </c>
      <c r="H17" s="4">
        <v>1067.9000000000001</v>
      </c>
      <c r="I17" s="4">
        <v>795.1</v>
      </c>
      <c r="J17" s="4">
        <v>0.03</v>
      </c>
      <c r="K17" s="4">
        <v>0.02</v>
      </c>
      <c r="L17" s="4">
        <f t="shared" si="0"/>
        <v>4673.6000000000004</v>
      </c>
    </row>
    <row r="18" spans="1:12" hidden="1" outlineLevel="1" collapsed="1">
      <c r="A18" t="s">
        <v>25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200</v>
      </c>
      <c r="L18" s="4">
        <f t="shared" si="0"/>
        <v>200</v>
      </c>
    </row>
    <row r="19" spans="1:12" hidden="1" outlineLevel="1" collapsed="1">
      <c r="A19" t="s">
        <v>26</v>
      </c>
      <c r="B19" s="4">
        <v>59</v>
      </c>
      <c r="C19" s="4">
        <v>457.52</v>
      </c>
      <c r="D19" s="4">
        <v>299.95999999999998</v>
      </c>
      <c r="E19" s="4">
        <v>266.06</v>
      </c>
      <c r="F19" s="4">
        <v>532.03</v>
      </c>
      <c r="G19" s="4">
        <v>0.09</v>
      </c>
      <c r="H19" s="4">
        <v>59.12</v>
      </c>
      <c r="I19" s="4">
        <v>187.1</v>
      </c>
      <c r="J19" s="4">
        <v>266.05</v>
      </c>
      <c r="K19" s="4">
        <v>936.24</v>
      </c>
      <c r="L19" s="4">
        <f t="shared" si="0"/>
        <v>3063.17</v>
      </c>
    </row>
    <row r="20" spans="1:12" hidden="1" outlineLevel="1" collapsed="1">
      <c r="A20" t="s">
        <v>27</v>
      </c>
      <c r="B20" s="4">
        <v>0</v>
      </c>
      <c r="C20" s="4">
        <v>580.36</v>
      </c>
      <c r="D20" s="4">
        <v>859.76</v>
      </c>
      <c r="E20" s="4">
        <v>1301.55</v>
      </c>
      <c r="F20" s="4">
        <v>1944.37</v>
      </c>
      <c r="G20" s="4">
        <v>3114.65</v>
      </c>
      <c r="H20" s="4">
        <v>2400.1799999999998</v>
      </c>
      <c r="I20" s="4">
        <v>2029.51</v>
      </c>
      <c r="J20" s="4">
        <v>2101.94</v>
      </c>
      <c r="K20" s="4">
        <v>1788.84</v>
      </c>
      <c r="L20" s="4">
        <f t="shared" si="0"/>
        <v>16121.160000000002</v>
      </c>
    </row>
    <row r="21" spans="1:12" hidden="1" outlineLevel="1" collapsed="1">
      <c r="A21" t="s">
        <v>28</v>
      </c>
      <c r="B21" s="4">
        <v>4508.21</v>
      </c>
      <c r="C21" s="4">
        <v>1387.77</v>
      </c>
      <c r="D21" s="4">
        <v>1357.34</v>
      </c>
      <c r="E21" s="4">
        <v>2227.7199999999998</v>
      </c>
      <c r="F21" s="4">
        <v>3387.33</v>
      </c>
      <c r="G21" s="4">
        <v>3590.87</v>
      </c>
      <c r="H21" s="4">
        <v>3469.4</v>
      </c>
      <c r="I21" s="4">
        <v>3118.11</v>
      </c>
      <c r="J21" s="4">
        <v>2090.7800000000002</v>
      </c>
      <c r="K21" s="4">
        <v>2180.0500000000002</v>
      </c>
      <c r="L21" s="4">
        <f t="shared" si="0"/>
        <v>27317.579999999998</v>
      </c>
    </row>
    <row r="22" spans="1:12" collapsed="1">
      <c r="A22" s="5" t="s">
        <v>29</v>
      </c>
      <c r="B22" s="6">
        <v>3489.86</v>
      </c>
      <c r="C22" s="6">
        <v>2366.65</v>
      </c>
      <c r="D22" s="6">
        <v>4458.62</v>
      </c>
      <c r="E22" s="6">
        <v>3196.61</v>
      </c>
      <c r="F22" s="6">
        <v>5185.32</v>
      </c>
      <c r="G22" s="6">
        <v>7092.7</v>
      </c>
      <c r="H22" s="6">
        <v>4538.97</v>
      </c>
      <c r="I22" s="6">
        <v>4854.54</v>
      </c>
      <c r="J22" s="6">
        <v>2816.58</v>
      </c>
      <c r="K22" s="6">
        <v>3758.76</v>
      </c>
      <c r="L22" s="6">
        <f t="shared" si="0"/>
        <v>41758.610000000008</v>
      </c>
    </row>
    <row r="23" spans="1:12" hidden="1" outlineLevel="1" collapsed="1">
      <c r="A23" t="s">
        <v>30</v>
      </c>
      <c r="B23" s="4">
        <v>0</v>
      </c>
      <c r="C23" s="4">
        <v>0</v>
      </c>
      <c r="D23" s="4">
        <v>0</v>
      </c>
      <c r="E23" s="4">
        <v>0</v>
      </c>
      <c r="F23" s="4">
        <v>671.96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f t="shared" si="0"/>
        <v>671.96</v>
      </c>
    </row>
    <row r="24" spans="1:12" hidden="1" outlineLevel="1" collapsed="1">
      <c r="A24" t="s">
        <v>31</v>
      </c>
      <c r="B24" s="4">
        <v>3489.86</v>
      </c>
      <c r="C24" s="4">
        <v>2366.65</v>
      </c>
      <c r="D24" s="4">
        <v>4458.62</v>
      </c>
      <c r="E24" s="4">
        <v>3196.61</v>
      </c>
      <c r="F24" s="4">
        <v>4513.3599999999997</v>
      </c>
      <c r="G24" s="4">
        <v>7092.7</v>
      </c>
      <c r="H24" s="4">
        <v>4538.97</v>
      </c>
      <c r="I24" s="4">
        <v>4854.54</v>
      </c>
      <c r="J24" s="4">
        <v>2816.58</v>
      </c>
      <c r="K24" s="4">
        <v>3758.76</v>
      </c>
      <c r="L24" s="4">
        <f t="shared" si="0"/>
        <v>41086.650000000009</v>
      </c>
    </row>
    <row r="25" spans="1:12" collapsed="1">
      <c r="A25" s="5" t="s">
        <v>32</v>
      </c>
      <c r="B25" s="6">
        <v>107776.35</v>
      </c>
      <c r="C25" s="6">
        <v>74010.87</v>
      </c>
      <c r="D25" s="6">
        <v>97320.16</v>
      </c>
      <c r="E25" s="6">
        <v>112507.44</v>
      </c>
      <c r="F25" s="6">
        <v>129661.21</v>
      </c>
      <c r="G25" s="6">
        <v>131050.57</v>
      </c>
      <c r="H25" s="6">
        <v>140895.87</v>
      </c>
      <c r="I25" s="6">
        <v>120187.46</v>
      </c>
      <c r="J25" s="6">
        <v>128576.11</v>
      </c>
      <c r="K25" s="6">
        <v>109756.24</v>
      </c>
      <c r="L25" s="6">
        <f t="shared" si="0"/>
        <v>1151742.28</v>
      </c>
    </row>
    <row r="26" spans="1:12" hidden="1" outlineLevel="1" collapsed="1">
      <c r="A26" t="s">
        <v>33</v>
      </c>
      <c r="B26" s="4">
        <v>0</v>
      </c>
      <c r="C26" s="4">
        <v>0</v>
      </c>
      <c r="D26" s="4">
        <v>0</v>
      </c>
      <c r="E26" s="4">
        <v>0</v>
      </c>
      <c r="F26" s="4">
        <v>193</v>
      </c>
      <c r="G26" s="4">
        <v>0</v>
      </c>
      <c r="H26" s="4">
        <v>50</v>
      </c>
      <c r="I26" s="4">
        <v>4525</v>
      </c>
      <c r="J26" s="4">
        <v>6174.5</v>
      </c>
      <c r="K26" s="4">
        <v>4919</v>
      </c>
      <c r="L26" s="4">
        <f t="shared" si="0"/>
        <v>15861.5</v>
      </c>
    </row>
    <row r="27" spans="1:12" hidden="1" outlineLevel="1" collapsed="1">
      <c r="A27" t="s">
        <v>34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39.9</v>
      </c>
      <c r="J27" s="4">
        <v>0</v>
      </c>
      <c r="K27" s="4">
        <v>0</v>
      </c>
      <c r="L27" s="4">
        <f t="shared" si="0"/>
        <v>39.9</v>
      </c>
    </row>
    <row r="28" spans="1:12" hidden="1" outlineLevel="1" collapsed="1">
      <c r="A28" t="s">
        <v>35</v>
      </c>
      <c r="B28" s="4">
        <v>7480.2</v>
      </c>
      <c r="C28" s="4">
        <v>7125.76</v>
      </c>
      <c r="D28" s="4">
        <v>9111.5</v>
      </c>
      <c r="E28" s="4">
        <v>10792.75</v>
      </c>
      <c r="F28" s="4">
        <v>13289.96</v>
      </c>
      <c r="G28" s="4">
        <v>10639.49</v>
      </c>
      <c r="H28" s="4">
        <v>17871.3</v>
      </c>
      <c r="I28" s="4">
        <v>15142.74</v>
      </c>
      <c r="J28" s="4">
        <v>12122.2</v>
      </c>
      <c r="K28" s="4">
        <v>13515.84</v>
      </c>
      <c r="L28" s="4">
        <f t="shared" si="0"/>
        <v>117091.73999999999</v>
      </c>
    </row>
    <row r="29" spans="1:12" hidden="1" outlineLevel="1" collapsed="1">
      <c r="A29" t="s">
        <v>36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925.47</v>
      </c>
      <c r="K29" s="4">
        <v>0</v>
      </c>
      <c r="L29" s="4">
        <f t="shared" si="0"/>
        <v>925.47</v>
      </c>
    </row>
    <row r="30" spans="1:12" hidden="1" outlineLevel="1" collapsed="1">
      <c r="A30" t="s">
        <v>37</v>
      </c>
      <c r="B30" s="4">
        <v>81784.59</v>
      </c>
      <c r="C30" s="4">
        <v>52443.28</v>
      </c>
      <c r="D30" s="4">
        <v>70497.119999999995</v>
      </c>
      <c r="E30" s="4">
        <v>88718.19</v>
      </c>
      <c r="F30" s="4">
        <v>97628.62</v>
      </c>
      <c r="G30" s="4">
        <v>102291.93</v>
      </c>
      <c r="H30" s="4">
        <v>104205.24</v>
      </c>
      <c r="I30" s="4">
        <v>87683.02</v>
      </c>
      <c r="J30" s="4">
        <v>95978.68</v>
      </c>
      <c r="K30" s="4">
        <v>81035.100000000006</v>
      </c>
      <c r="L30" s="4">
        <f t="shared" si="0"/>
        <v>862265.7699999999</v>
      </c>
    </row>
    <row r="31" spans="1:12" hidden="1" outlineLevel="1" collapsed="1">
      <c r="A31" t="s">
        <v>38</v>
      </c>
      <c r="B31" s="4">
        <v>405.5</v>
      </c>
      <c r="C31" s="4">
        <v>438.5</v>
      </c>
      <c r="D31" s="4">
        <v>363</v>
      </c>
      <c r="E31" s="4">
        <v>329.5</v>
      </c>
      <c r="F31" s="4">
        <v>484</v>
      </c>
      <c r="G31" s="4">
        <v>1203.5</v>
      </c>
      <c r="H31" s="4">
        <v>1825</v>
      </c>
      <c r="I31" s="4">
        <v>1008.49</v>
      </c>
      <c r="J31" s="4">
        <v>737</v>
      </c>
      <c r="K31" s="4">
        <v>1095</v>
      </c>
      <c r="L31" s="4">
        <f t="shared" si="0"/>
        <v>7889.49</v>
      </c>
    </row>
    <row r="32" spans="1:12" hidden="1" outlineLevel="1" collapsed="1">
      <c r="A32" t="s">
        <v>39</v>
      </c>
      <c r="B32" s="4">
        <v>18106.060000000001</v>
      </c>
      <c r="C32" s="4">
        <v>14003.33</v>
      </c>
      <c r="D32" s="4">
        <v>17348.54</v>
      </c>
      <c r="E32" s="4">
        <v>12667</v>
      </c>
      <c r="F32" s="4">
        <v>18065.63</v>
      </c>
      <c r="G32" s="4">
        <v>16915.650000000001</v>
      </c>
      <c r="H32" s="4">
        <v>16944.330000000002</v>
      </c>
      <c r="I32" s="4">
        <v>11788.31</v>
      </c>
      <c r="J32" s="4">
        <v>12638.26</v>
      </c>
      <c r="K32" s="4">
        <v>9191.2999999999993</v>
      </c>
      <c r="L32" s="4">
        <f t="shared" si="0"/>
        <v>147668.40999999997</v>
      </c>
    </row>
    <row r="33" spans="1:12">
      <c r="A33" s="8" t="s">
        <v>40</v>
      </c>
      <c r="B33" s="7">
        <v>42.365067864480622</v>
      </c>
      <c r="C33" s="7">
        <v>36.395461789202535</v>
      </c>
      <c r="D33" s="7">
        <v>30.761124135064392</v>
      </c>
      <c r="E33" s="7">
        <v>41.403362757139398</v>
      </c>
      <c r="F33" s="7">
        <v>31.135238808392948</v>
      </c>
      <c r="G33" s="7">
        <v>30.84062901395092</v>
      </c>
      <c r="H33" s="7">
        <v>34.712016179383212</v>
      </c>
      <c r="I33" s="7">
        <v>31.641335684496319</v>
      </c>
      <c r="J33" s="7">
        <v>44.503292514594406</v>
      </c>
      <c r="K33" s="7">
        <v>40.45489548062438</v>
      </c>
      <c r="L33" s="7">
        <f t="shared" si="0"/>
        <v>364.21242422732917</v>
      </c>
    </row>
    <row r="34" spans="1:12">
      <c r="A34" s="8" t="s">
        <v>41</v>
      </c>
      <c r="B34" s="7">
        <v>77213.81</v>
      </c>
      <c r="C34" s="7">
        <v>64457.52</v>
      </c>
      <c r="D34" s="7">
        <v>122505.68</v>
      </c>
      <c r="E34" s="7">
        <v>94070</v>
      </c>
      <c r="F34" s="7">
        <v>172057.74</v>
      </c>
      <c r="G34" s="7">
        <v>186035.15</v>
      </c>
      <c r="H34" s="7">
        <v>147767.89000000001</v>
      </c>
      <c r="I34" s="7">
        <v>146069.70000000001</v>
      </c>
      <c r="J34" s="7">
        <v>79814.98</v>
      </c>
      <c r="K34" s="7">
        <v>81689.600000000006</v>
      </c>
      <c r="L34" s="7">
        <f t="shared" si="0"/>
        <v>1171682.07</v>
      </c>
    </row>
    <row r="35" spans="1:12">
      <c r="A35" s="8" t="s">
        <v>42</v>
      </c>
      <c r="B35" s="7">
        <v>39.997367483594559</v>
      </c>
      <c r="C35" s="7">
        <v>44.73330436591224</v>
      </c>
      <c r="D35" s="7">
        <v>53.454842264910617</v>
      </c>
      <c r="E35" s="7">
        <v>43.900967034653249</v>
      </c>
      <c r="F35" s="7">
        <v>54.871807301305545</v>
      </c>
      <c r="G35" s="7">
        <v>56.088892297806019</v>
      </c>
      <c r="H35" s="7">
        <v>49.223257760102264</v>
      </c>
      <c r="I35" s="7">
        <v>52.686805352964448</v>
      </c>
      <c r="J35" s="7">
        <v>37.008525247341417</v>
      </c>
      <c r="K35" s="7">
        <v>40.781639435923616</v>
      </c>
      <c r="L35" s="7">
        <f t="shared" si="0"/>
        <v>472.74740854451403</v>
      </c>
    </row>
    <row r="36" spans="1:12" collapsed="1">
      <c r="A36" s="5" t="s">
        <v>43</v>
      </c>
      <c r="B36" s="6">
        <v>25906.720000000001</v>
      </c>
      <c r="C36" s="6">
        <v>27710.43</v>
      </c>
      <c r="D36" s="6">
        <v>31587.97</v>
      </c>
      <c r="E36" s="6">
        <v>30024.400000000001</v>
      </c>
      <c r="F36" s="6">
        <v>37817.97</v>
      </c>
      <c r="G36" s="6">
        <v>37641.74</v>
      </c>
      <c r="H36" s="6">
        <v>28172.26</v>
      </c>
      <c r="I36" s="6">
        <v>29910.45</v>
      </c>
      <c r="J36" s="6">
        <v>20694.96</v>
      </c>
      <c r="K36" s="6">
        <v>27915.33</v>
      </c>
      <c r="L36" s="6">
        <f t="shared" si="0"/>
        <v>297382.23000000004</v>
      </c>
    </row>
    <row r="37" spans="1:12" hidden="1" outlineLevel="1" collapsed="1">
      <c r="A37" t="s">
        <v>44</v>
      </c>
      <c r="B37" s="4">
        <v>16907.650000000001</v>
      </c>
      <c r="C37" s="4">
        <v>18180.72</v>
      </c>
      <c r="D37" s="4">
        <v>20975.39</v>
      </c>
      <c r="E37" s="4">
        <v>19965.88</v>
      </c>
      <c r="F37" s="4">
        <v>15335.36</v>
      </c>
      <c r="G37" s="4">
        <v>18509.759999999998</v>
      </c>
      <c r="H37" s="4">
        <v>17329.21</v>
      </c>
      <c r="I37" s="4">
        <v>18343.78</v>
      </c>
      <c r="J37" s="4">
        <v>8490.34</v>
      </c>
      <c r="K37" s="4">
        <v>18866.23</v>
      </c>
      <c r="L37" s="4">
        <f t="shared" si="0"/>
        <v>172904.32000000001</v>
      </c>
    </row>
    <row r="38" spans="1:12" hidden="1" outlineLevel="1" collapsed="1">
      <c r="A38" t="s">
        <v>45</v>
      </c>
      <c r="B38" s="4">
        <v>2501.5300000000002</v>
      </c>
      <c r="C38" s="4">
        <v>1182.31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f t="shared" si="0"/>
        <v>3683.84</v>
      </c>
    </row>
    <row r="39" spans="1:12" hidden="1" outlineLevel="1" collapsed="1">
      <c r="A39" t="s">
        <v>46</v>
      </c>
      <c r="B39" s="4">
        <v>0</v>
      </c>
      <c r="C39" s="4">
        <v>2774.77</v>
      </c>
      <c r="D39" s="4">
        <v>2799.53</v>
      </c>
      <c r="E39" s="4">
        <v>1776.1</v>
      </c>
      <c r="F39" s="4">
        <v>10747.23</v>
      </c>
      <c r="G39" s="4">
        <v>7517.41</v>
      </c>
      <c r="H39" s="4">
        <v>1760.84</v>
      </c>
      <c r="I39" s="4">
        <v>0</v>
      </c>
      <c r="J39" s="4">
        <v>786.58</v>
      </c>
      <c r="K39" s="4">
        <v>0</v>
      </c>
      <c r="L39" s="4">
        <f t="shared" si="0"/>
        <v>28162.46</v>
      </c>
    </row>
    <row r="40" spans="1:12" hidden="1" outlineLevel="1" collapsed="1">
      <c r="A40" t="s">
        <v>47</v>
      </c>
      <c r="B40" s="4">
        <v>1941.44</v>
      </c>
      <c r="C40" s="4">
        <v>2065.65</v>
      </c>
      <c r="D40" s="4">
        <v>2758.97</v>
      </c>
      <c r="E40" s="4">
        <v>2523.88</v>
      </c>
      <c r="F40" s="4">
        <v>2899.35</v>
      </c>
      <c r="G40" s="4">
        <v>3004.36</v>
      </c>
      <c r="H40" s="4">
        <v>3039.1</v>
      </c>
      <c r="I40" s="4">
        <v>3159.22</v>
      </c>
      <c r="J40" s="4">
        <v>3089.94</v>
      </c>
      <c r="K40" s="4">
        <v>3200</v>
      </c>
      <c r="L40" s="4">
        <f t="shared" si="0"/>
        <v>27681.91</v>
      </c>
    </row>
    <row r="41" spans="1:12" hidden="1" outlineLevel="1" collapsed="1">
      <c r="A41" t="s">
        <v>48</v>
      </c>
      <c r="B41" s="4">
        <v>2218.5500000000002</v>
      </c>
      <c r="C41" s="4">
        <v>2554.48</v>
      </c>
      <c r="D41" s="4">
        <v>2453.08</v>
      </c>
      <c r="E41" s="4">
        <v>2594.54</v>
      </c>
      <c r="F41" s="4">
        <v>4904.8999999999996</v>
      </c>
      <c r="G41" s="4">
        <v>4206.6400000000003</v>
      </c>
      <c r="H41" s="4">
        <v>3213.82</v>
      </c>
      <c r="I41" s="4">
        <v>3387.05</v>
      </c>
      <c r="J41" s="4">
        <v>3207.1</v>
      </c>
      <c r="K41" s="4">
        <v>3300</v>
      </c>
      <c r="L41" s="4">
        <f t="shared" si="0"/>
        <v>32040.16</v>
      </c>
    </row>
    <row r="42" spans="1:12" hidden="1" outlineLevel="1" collapsed="1">
      <c r="A42" t="s">
        <v>49</v>
      </c>
      <c r="B42" s="4">
        <v>0</v>
      </c>
      <c r="C42" s="4">
        <v>0</v>
      </c>
      <c r="D42" s="4">
        <v>33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2650</v>
      </c>
      <c r="K42" s="4">
        <v>0</v>
      </c>
      <c r="L42" s="4">
        <f t="shared" si="0"/>
        <v>2683</v>
      </c>
    </row>
    <row r="43" spans="1:12" hidden="1" outlineLevel="1" collapsed="1">
      <c r="A43" t="s">
        <v>50</v>
      </c>
      <c r="B43" s="4">
        <v>2281.3000000000002</v>
      </c>
      <c r="C43" s="4">
        <v>885</v>
      </c>
      <c r="D43" s="4">
        <v>1914</v>
      </c>
      <c r="E43" s="4">
        <v>2790</v>
      </c>
      <c r="F43" s="4">
        <v>3618</v>
      </c>
      <c r="G43" s="4">
        <v>2584</v>
      </c>
      <c r="H43" s="4">
        <v>2728</v>
      </c>
      <c r="I43" s="4">
        <v>2563</v>
      </c>
      <c r="J43" s="4">
        <v>2471</v>
      </c>
      <c r="K43" s="4">
        <v>2549.1</v>
      </c>
      <c r="L43" s="4">
        <f t="shared" si="0"/>
        <v>24383.399999999998</v>
      </c>
    </row>
    <row r="44" spans="1:12" hidden="1" outlineLevel="1" collapsed="1">
      <c r="A44" t="s">
        <v>51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61.39</v>
      </c>
      <c r="I44" s="4">
        <v>0</v>
      </c>
      <c r="J44" s="4">
        <v>0</v>
      </c>
      <c r="K44" s="4">
        <v>0</v>
      </c>
      <c r="L44" s="4">
        <f t="shared" si="0"/>
        <v>61.39</v>
      </c>
    </row>
    <row r="45" spans="1:12" hidden="1" outlineLevel="1" collapsed="1">
      <c r="A45" t="s">
        <v>52</v>
      </c>
      <c r="B45" s="4">
        <v>0</v>
      </c>
      <c r="C45" s="4">
        <v>0</v>
      </c>
      <c r="D45" s="4">
        <v>0</v>
      </c>
      <c r="E45" s="4">
        <v>0</v>
      </c>
      <c r="F45" s="4">
        <v>219.56</v>
      </c>
      <c r="G45" s="4">
        <v>1757.9</v>
      </c>
      <c r="H45" s="4">
        <v>14.9</v>
      </c>
      <c r="I45" s="4">
        <v>2388</v>
      </c>
      <c r="J45" s="4">
        <v>0</v>
      </c>
      <c r="K45" s="4">
        <v>0</v>
      </c>
      <c r="L45" s="4">
        <f t="shared" si="0"/>
        <v>4380.3600000000006</v>
      </c>
    </row>
    <row r="46" spans="1:12" hidden="1" outlineLevel="1" collapsed="1">
      <c r="A46" t="s">
        <v>53</v>
      </c>
      <c r="B46" s="4">
        <v>56.25</v>
      </c>
      <c r="C46" s="4">
        <v>67.5</v>
      </c>
      <c r="D46" s="4">
        <v>654</v>
      </c>
      <c r="E46" s="4">
        <v>374</v>
      </c>
      <c r="F46" s="4">
        <v>93.57</v>
      </c>
      <c r="G46" s="4">
        <v>61.67</v>
      </c>
      <c r="H46" s="4">
        <v>25</v>
      </c>
      <c r="I46" s="4">
        <v>69.400000000000006</v>
      </c>
      <c r="J46" s="4">
        <v>0</v>
      </c>
      <c r="K46" s="4">
        <v>0</v>
      </c>
      <c r="L46" s="4">
        <f t="shared" si="0"/>
        <v>1401.39</v>
      </c>
    </row>
    <row r="47" spans="1:12" collapsed="1">
      <c r="A47" s="5" t="s">
        <v>54</v>
      </c>
      <c r="B47" s="6">
        <v>49557.54</v>
      </c>
      <c r="C47" s="6">
        <v>48846.69</v>
      </c>
      <c r="D47" s="6">
        <v>54679.16</v>
      </c>
      <c r="E47" s="6">
        <v>58298.43</v>
      </c>
      <c r="F47" s="6">
        <v>60387.74</v>
      </c>
      <c r="G47" s="6">
        <v>58362.67</v>
      </c>
      <c r="H47" s="6">
        <v>55573.84</v>
      </c>
      <c r="I47" s="6">
        <v>55917.98</v>
      </c>
      <c r="J47" s="6">
        <v>58314.84</v>
      </c>
      <c r="K47" s="6">
        <v>56963.95</v>
      </c>
      <c r="L47" s="6">
        <f t="shared" si="0"/>
        <v>556902.83999999985</v>
      </c>
    </row>
    <row r="48" spans="1:12" hidden="1" outlineLevel="1" collapsed="1">
      <c r="A48" t="s">
        <v>55</v>
      </c>
      <c r="B48" s="4">
        <v>4589.55</v>
      </c>
      <c r="C48" s="4">
        <v>4765.7299999999996</v>
      </c>
      <c r="D48" s="4">
        <v>5129.71</v>
      </c>
      <c r="E48" s="4">
        <v>4374.91</v>
      </c>
      <c r="F48" s="4">
        <v>5057.45</v>
      </c>
      <c r="G48" s="4">
        <v>5227.34</v>
      </c>
      <c r="H48" s="4">
        <v>5415.44</v>
      </c>
      <c r="I48" s="4">
        <v>5423.99</v>
      </c>
      <c r="J48" s="4">
        <v>6430.5</v>
      </c>
      <c r="K48" s="4">
        <v>5736.32</v>
      </c>
      <c r="L48" s="4">
        <f t="shared" si="0"/>
        <v>52150.939999999995</v>
      </c>
    </row>
    <row r="49" spans="1:12" hidden="1" outlineLevel="1" collapsed="1">
      <c r="A49" t="s">
        <v>56</v>
      </c>
      <c r="B49" s="4">
        <v>1834.12</v>
      </c>
      <c r="C49" s="4">
        <v>1786.78</v>
      </c>
      <c r="D49" s="4">
        <v>1667.22</v>
      </c>
      <c r="E49" s="4">
        <v>1804.58</v>
      </c>
      <c r="F49" s="4">
        <v>1814.9</v>
      </c>
      <c r="G49" s="4">
        <v>2190.4</v>
      </c>
      <c r="H49" s="4">
        <v>2412.14</v>
      </c>
      <c r="I49" s="4">
        <v>2710.08</v>
      </c>
      <c r="J49" s="4">
        <v>2014.58</v>
      </c>
      <c r="K49" s="4">
        <v>1825.22</v>
      </c>
      <c r="L49" s="4">
        <f t="shared" si="0"/>
        <v>20060.02</v>
      </c>
    </row>
    <row r="50" spans="1:12" hidden="1" outlineLevel="1" collapsed="1">
      <c r="A50" t="s">
        <v>57</v>
      </c>
      <c r="B50" s="4">
        <v>24647</v>
      </c>
      <c r="C50" s="4">
        <v>24647</v>
      </c>
      <c r="D50" s="4">
        <v>24647</v>
      </c>
      <c r="E50" s="4">
        <v>24647</v>
      </c>
      <c r="F50" s="4">
        <v>24647</v>
      </c>
      <c r="G50" s="4">
        <v>24647</v>
      </c>
      <c r="H50" s="4">
        <v>24647</v>
      </c>
      <c r="I50" s="4">
        <v>25120.6</v>
      </c>
      <c r="J50" s="4">
        <v>24248.11</v>
      </c>
      <c r="K50" s="4">
        <v>25302.55</v>
      </c>
      <c r="L50" s="4">
        <f t="shared" si="0"/>
        <v>247200.26</v>
      </c>
    </row>
    <row r="51" spans="1:12" hidden="1" outlineLevel="1" collapsed="1">
      <c r="A51" t="s">
        <v>58</v>
      </c>
      <c r="B51" s="4">
        <v>0</v>
      </c>
      <c r="C51" s="4">
        <v>1451.31</v>
      </c>
      <c r="D51" s="4">
        <v>359.26</v>
      </c>
      <c r="E51" s="4">
        <v>3399.27</v>
      </c>
      <c r="F51" s="4">
        <v>475</v>
      </c>
      <c r="G51" s="4">
        <v>1675</v>
      </c>
      <c r="H51" s="4">
        <v>772.7</v>
      </c>
      <c r="I51" s="4">
        <v>2299.06</v>
      </c>
      <c r="J51" s="4">
        <v>0</v>
      </c>
      <c r="K51" s="4">
        <v>364.9</v>
      </c>
      <c r="L51" s="4">
        <f t="shared" si="0"/>
        <v>10796.5</v>
      </c>
    </row>
    <row r="52" spans="1:12" hidden="1" outlineLevel="1" collapsed="1">
      <c r="A52" t="s">
        <v>59</v>
      </c>
      <c r="B52" s="4">
        <v>110.78</v>
      </c>
      <c r="C52" s="4">
        <v>30.98</v>
      </c>
      <c r="D52" s="4">
        <v>139.97999999999999</v>
      </c>
      <c r="E52" s="4">
        <v>143.25</v>
      </c>
      <c r="F52" s="4">
        <v>145.41</v>
      </c>
      <c r="G52" s="4">
        <v>413.14</v>
      </c>
      <c r="H52" s="4">
        <v>407.17</v>
      </c>
      <c r="I52" s="4">
        <v>407.17</v>
      </c>
      <c r="J52" s="4">
        <v>30.98</v>
      </c>
      <c r="K52" s="4">
        <v>32.200000000000003</v>
      </c>
      <c r="L52" s="4">
        <f t="shared" si="0"/>
        <v>1861.0600000000002</v>
      </c>
    </row>
    <row r="53" spans="1:12" hidden="1" outlineLevel="1" collapsed="1">
      <c r="A53" t="s">
        <v>60</v>
      </c>
      <c r="B53" s="4">
        <v>327.33999999999997</v>
      </c>
      <c r="C53" s="4">
        <v>327.33999999999997</v>
      </c>
      <c r="D53" s="4">
        <v>327.33999999999997</v>
      </c>
      <c r="E53" s="4">
        <v>327.33999999999997</v>
      </c>
      <c r="F53" s="4">
        <v>327.33999999999997</v>
      </c>
      <c r="G53" s="4">
        <v>327.33999999999997</v>
      </c>
      <c r="H53" s="4">
        <v>366.62</v>
      </c>
      <c r="I53" s="4">
        <v>366.62</v>
      </c>
      <c r="J53" s="4">
        <v>366.62</v>
      </c>
      <c r="K53" s="4">
        <v>366.62</v>
      </c>
      <c r="L53" s="4">
        <f t="shared" si="0"/>
        <v>3430.5199999999995</v>
      </c>
    </row>
    <row r="54" spans="1:12" hidden="1" outlineLevel="1" collapsed="1">
      <c r="A54" t="s">
        <v>61</v>
      </c>
      <c r="B54" s="4">
        <v>0</v>
      </c>
      <c r="C54" s="4">
        <v>0</v>
      </c>
      <c r="D54" s="4">
        <v>1680.65</v>
      </c>
      <c r="E54" s="4">
        <v>0</v>
      </c>
      <c r="F54" s="4">
        <v>0</v>
      </c>
      <c r="G54" s="4">
        <v>0</v>
      </c>
      <c r="H54" s="4">
        <v>118</v>
      </c>
      <c r="I54" s="4">
        <v>756</v>
      </c>
      <c r="J54" s="4">
        <v>5956.9</v>
      </c>
      <c r="K54" s="4">
        <v>0</v>
      </c>
      <c r="L54" s="4">
        <f t="shared" si="0"/>
        <v>8511.5499999999993</v>
      </c>
    </row>
    <row r="55" spans="1:12" hidden="1" outlineLevel="1" collapsed="1">
      <c r="A55" t="s">
        <v>62</v>
      </c>
      <c r="B55" s="4">
        <v>0</v>
      </c>
      <c r="C55" s="4">
        <v>740</v>
      </c>
      <c r="D55" s="4">
        <v>340</v>
      </c>
      <c r="E55" s="4">
        <v>1273</v>
      </c>
      <c r="F55" s="4">
        <v>675</v>
      </c>
      <c r="G55" s="4">
        <v>250</v>
      </c>
      <c r="H55" s="4">
        <v>1333</v>
      </c>
      <c r="I55" s="4">
        <v>1422.7</v>
      </c>
      <c r="J55" s="4">
        <v>1865.38</v>
      </c>
      <c r="K55" s="4">
        <v>1308.24</v>
      </c>
      <c r="L55" s="4">
        <f t="shared" si="0"/>
        <v>9207.32</v>
      </c>
    </row>
    <row r="56" spans="1:12" hidden="1" outlineLevel="1" collapsed="1">
      <c r="A56" t="s">
        <v>63</v>
      </c>
      <c r="B56" s="4">
        <v>20</v>
      </c>
      <c r="C56" s="4">
        <v>78</v>
      </c>
      <c r="D56" s="4">
        <v>45</v>
      </c>
      <c r="E56" s="4">
        <v>0</v>
      </c>
      <c r="F56" s="4">
        <v>0</v>
      </c>
      <c r="G56" s="4">
        <v>1390</v>
      </c>
      <c r="H56" s="4">
        <v>0</v>
      </c>
      <c r="I56" s="4">
        <v>1517.8</v>
      </c>
      <c r="J56" s="4">
        <v>2137.5</v>
      </c>
      <c r="K56" s="4">
        <v>506.89</v>
      </c>
      <c r="L56" s="4">
        <f t="shared" si="0"/>
        <v>5695.1900000000005</v>
      </c>
    </row>
    <row r="57" spans="1:12" hidden="1" outlineLevel="1" collapsed="1">
      <c r="A57" t="s">
        <v>64</v>
      </c>
      <c r="B57" s="4">
        <v>0</v>
      </c>
      <c r="C57" s="4">
        <v>32.99</v>
      </c>
      <c r="D57" s="4">
        <v>0</v>
      </c>
      <c r="E57" s="4">
        <v>260.92</v>
      </c>
      <c r="F57" s="4">
        <v>280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f t="shared" si="0"/>
        <v>573.91000000000008</v>
      </c>
    </row>
    <row r="58" spans="1:12" hidden="1" outlineLevel="1" collapsed="1">
      <c r="A58" t="s">
        <v>65</v>
      </c>
      <c r="B58" s="4">
        <v>2011.6</v>
      </c>
      <c r="C58" s="4">
        <v>1406.54</v>
      </c>
      <c r="D58" s="4">
        <v>1406.57</v>
      </c>
      <c r="E58" s="4">
        <v>605.05999999999995</v>
      </c>
      <c r="F58" s="4">
        <v>0</v>
      </c>
      <c r="G58" s="4">
        <v>0</v>
      </c>
      <c r="H58" s="4">
        <v>903.01</v>
      </c>
      <c r="I58" s="4">
        <v>905.69</v>
      </c>
      <c r="J58" s="4">
        <v>906.23</v>
      </c>
      <c r="K58" s="4">
        <v>906.23</v>
      </c>
      <c r="L58" s="4">
        <f t="shared" si="0"/>
        <v>9050.93</v>
      </c>
    </row>
    <row r="59" spans="1:12" hidden="1" outlineLevel="1" collapsed="1">
      <c r="A59" t="s">
        <v>66</v>
      </c>
      <c r="B59" s="4">
        <v>3284.31</v>
      </c>
      <c r="C59" s="4">
        <v>2548.5300000000002</v>
      </c>
      <c r="D59" s="4">
        <v>1311.14</v>
      </c>
      <c r="E59" s="4">
        <v>2636.29</v>
      </c>
      <c r="F59" s="4">
        <v>2123.0300000000002</v>
      </c>
      <c r="G59" s="4">
        <v>1850.04</v>
      </c>
      <c r="H59" s="4">
        <v>1963.26</v>
      </c>
      <c r="I59" s="4">
        <v>2148.48</v>
      </c>
      <c r="J59" s="4">
        <v>1857</v>
      </c>
      <c r="K59" s="4">
        <v>2781.38</v>
      </c>
      <c r="L59" s="4">
        <f t="shared" si="0"/>
        <v>22503.460000000003</v>
      </c>
    </row>
    <row r="60" spans="1:12" hidden="1" outlineLevel="1" collapsed="1">
      <c r="A60" t="s">
        <v>67</v>
      </c>
      <c r="B60" s="4">
        <v>710.53</v>
      </c>
      <c r="C60" s="4">
        <v>798.35</v>
      </c>
      <c r="D60" s="4">
        <v>1156.54</v>
      </c>
      <c r="E60" s="4">
        <v>681.37</v>
      </c>
      <c r="F60" s="4">
        <v>673.32</v>
      </c>
      <c r="G60" s="4">
        <v>757.49</v>
      </c>
      <c r="H60" s="4">
        <v>2221.96</v>
      </c>
      <c r="I60" s="4">
        <v>0</v>
      </c>
      <c r="J60" s="4">
        <v>1668.87</v>
      </c>
      <c r="K60" s="4">
        <v>808.08</v>
      </c>
      <c r="L60" s="4">
        <f t="shared" si="0"/>
        <v>9476.51</v>
      </c>
    </row>
    <row r="61" spans="1:12" hidden="1" outlineLevel="1" collapsed="1">
      <c r="A61" t="s">
        <v>68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525</v>
      </c>
      <c r="H61" s="4">
        <v>0</v>
      </c>
      <c r="I61" s="4">
        <v>0</v>
      </c>
      <c r="J61" s="4">
        <v>0</v>
      </c>
      <c r="K61" s="4">
        <v>0</v>
      </c>
      <c r="L61" s="4">
        <f t="shared" si="0"/>
        <v>525</v>
      </c>
    </row>
    <row r="62" spans="1:12" hidden="1" outlineLevel="1" collapsed="1">
      <c r="A62" t="s">
        <v>69</v>
      </c>
      <c r="B62" s="4">
        <v>316.07</v>
      </c>
      <c r="C62" s="4">
        <v>565.37</v>
      </c>
      <c r="D62" s="4">
        <v>215.6</v>
      </c>
      <c r="E62" s="4">
        <v>456.9</v>
      </c>
      <c r="F62" s="4">
        <v>0</v>
      </c>
      <c r="G62" s="4">
        <v>467.66</v>
      </c>
      <c r="H62" s="4">
        <v>231</v>
      </c>
      <c r="I62" s="4">
        <v>741.29</v>
      </c>
      <c r="J62" s="4">
        <v>39</v>
      </c>
      <c r="K62" s="4">
        <v>0</v>
      </c>
      <c r="L62" s="4">
        <f t="shared" si="0"/>
        <v>3032.8900000000003</v>
      </c>
    </row>
    <row r="63" spans="1:12" hidden="1" outlineLevel="1" collapsed="1">
      <c r="A63" t="s">
        <v>70</v>
      </c>
      <c r="B63" s="4">
        <v>85</v>
      </c>
      <c r="C63" s="4">
        <v>45</v>
      </c>
      <c r="D63" s="4">
        <v>114.65</v>
      </c>
      <c r="E63" s="4">
        <v>94</v>
      </c>
      <c r="F63" s="4">
        <v>177.1</v>
      </c>
      <c r="G63" s="4">
        <v>87</v>
      </c>
      <c r="H63" s="4">
        <v>295</v>
      </c>
      <c r="I63" s="4">
        <v>57.4</v>
      </c>
      <c r="J63" s="4">
        <v>45</v>
      </c>
      <c r="K63" s="4">
        <v>230</v>
      </c>
      <c r="L63" s="4">
        <f t="shared" si="0"/>
        <v>1230.1500000000001</v>
      </c>
    </row>
    <row r="64" spans="1:12" hidden="1" outlineLevel="1" collapsed="1">
      <c r="A64" t="s">
        <v>71</v>
      </c>
      <c r="B64" s="4">
        <v>3635.49</v>
      </c>
      <c r="C64" s="4">
        <v>2088.41</v>
      </c>
      <c r="D64" s="4">
        <v>3446.81</v>
      </c>
      <c r="E64" s="4">
        <v>4401.7</v>
      </c>
      <c r="F64" s="4">
        <v>3772.87</v>
      </c>
      <c r="G64" s="4">
        <v>3929.63</v>
      </c>
      <c r="H64" s="4">
        <v>4780.3900000000003</v>
      </c>
      <c r="I64" s="4">
        <v>1820.23</v>
      </c>
      <c r="J64" s="4">
        <v>1917.6</v>
      </c>
      <c r="K64" s="4">
        <v>1152.02</v>
      </c>
      <c r="L64" s="4">
        <f t="shared" si="0"/>
        <v>30945.149999999998</v>
      </c>
    </row>
    <row r="65" spans="1:12" hidden="1" outlineLevel="1" collapsed="1">
      <c r="A65" t="s">
        <v>72</v>
      </c>
      <c r="B65" s="4">
        <v>834.16</v>
      </c>
      <c r="C65" s="4">
        <v>2959.99</v>
      </c>
      <c r="D65" s="4">
        <v>7835.16</v>
      </c>
      <c r="E65" s="4">
        <v>5672.33</v>
      </c>
      <c r="F65" s="4">
        <v>15433.43</v>
      </c>
      <c r="G65" s="4">
        <v>9175.01</v>
      </c>
      <c r="H65" s="4">
        <v>4453.03</v>
      </c>
      <c r="I65" s="4">
        <v>4457.37</v>
      </c>
      <c r="J65" s="4">
        <v>4520.87</v>
      </c>
      <c r="K65" s="4">
        <v>274.33999999999997</v>
      </c>
      <c r="L65" s="4">
        <f t="shared" si="0"/>
        <v>55615.69</v>
      </c>
    </row>
    <row r="66" spans="1:12" hidden="1" outlineLevel="1" collapsed="1">
      <c r="A66" t="s">
        <v>73</v>
      </c>
      <c r="B66" s="4">
        <v>2250</v>
      </c>
      <c r="C66" s="4">
        <v>2250</v>
      </c>
      <c r="D66" s="4">
        <v>2250</v>
      </c>
      <c r="E66" s="4">
        <v>2250</v>
      </c>
      <c r="F66" s="4">
        <v>2250</v>
      </c>
      <c r="G66" s="4">
        <v>2250</v>
      </c>
      <c r="H66" s="4">
        <v>2250</v>
      </c>
      <c r="I66" s="4">
        <v>2250</v>
      </c>
      <c r="J66" s="4">
        <v>2250</v>
      </c>
      <c r="K66" s="4">
        <v>2250</v>
      </c>
      <c r="L66" s="4">
        <f t="shared" si="0"/>
        <v>22500</v>
      </c>
    </row>
    <row r="67" spans="1:12" hidden="1" outlineLevel="1" collapsed="1">
      <c r="A67" t="s">
        <v>74</v>
      </c>
      <c r="B67" s="4">
        <v>600</v>
      </c>
      <c r="C67" s="4">
        <v>600</v>
      </c>
      <c r="D67" s="4">
        <v>600</v>
      </c>
      <c r="E67" s="4">
        <v>628.98</v>
      </c>
      <c r="F67" s="4">
        <v>628.98</v>
      </c>
      <c r="G67" s="4">
        <v>628.98</v>
      </c>
      <c r="H67" s="4">
        <v>628.98</v>
      </c>
      <c r="I67" s="4">
        <v>1259.98</v>
      </c>
      <c r="J67" s="4">
        <v>631</v>
      </c>
      <c r="K67" s="4">
        <v>631</v>
      </c>
      <c r="L67" s="4">
        <f t="shared" si="0"/>
        <v>6837.9</v>
      </c>
    </row>
    <row r="68" spans="1:12" hidden="1" outlineLevel="1" collapsed="1">
      <c r="A68" t="s">
        <v>75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1000</v>
      </c>
      <c r="H68" s="4">
        <v>0</v>
      </c>
      <c r="I68" s="4">
        <v>0</v>
      </c>
      <c r="J68" s="4">
        <v>0</v>
      </c>
      <c r="K68" s="4">
        <v>0</v>
      </c>
      <c r="L68" s="4">
        <f t="shared" si="0"/>
        <v>1000</v>
      </c>
    </row>
    <row r="69" spans="1:12" hidden="1" outlineLevel="1" collapsed="1">
      <c r="A69" t="s">
        <v>76</v>
      </c>
      <c r="B69" s="4">
        <v>261</v>
      </c>
      <c r="C69" s="4">
        <v>0</v>
      </c>
      <c r="D69" s="4">
        <v>261</v>
      </c>
      <c r="E69" s="4">
        <v>2790</v>
      </c>
      <c r="F69" s="4">
        <v>267</v>
      </c>
      <c r="G69" s="4">
        <v>0</v>
      </c>
      <c r="H69" s="4">
        <v>667.5</v>
      </c>
      <c r="I69" s="4">
        <v>0</v>
      </c>
      <c r="J69" s="4">
        <v>0</v>
      </c>
      <c r="K69" s="4">
        <v>267</v>
      </c>
      <c r="L69" s="4">
        <f t="shared" si="0"/>
        <v>4513.5</v>
      </c>
    </row>
    <row r="70" spans="1:12" hidden="1" outlineLevel="1" collapsed="1">
      <c r="A70" t="s">
        <v>77</v>
      </c>
      <c r="B70" s="4">
        <v>1151.06</v>
      </c>
      <c r="C70" s="4">
        <v>1297.3699999999999</v>
      </c>
      <c r="D70" s="4">
        <v>1199.83</v>
      </c>
      <c r="E70" s="4">
        <v>1199.83</v>
      </c>
      <c r="F70" s="4">
        <v>1199.83</v>
      </c>
      <c r="G70" s="4">
        <v>1086.52</v>
      </c>
      <c r="H70" s="4">
        <v>1313.14</v>
      </c>
      <c r="I70" s="4">
        <v>1199.83</v>
      </c>
      <c r="J70" s="4">
        <v>1199.83</v>
      </c>
      <c r="K70" s="4">
        <v>1199.83</v>
      </c>
      <c r="L70" s="4">
        <f t="shared" si="0"/>
        <v>12047.07</v>
      </c>
    </row>
    <row r="71" spans="1:12" hidden="1" outlineLevel="1" collapsed="1">
      <c r="A71" t="s">
        <v>78</v>
      </c>
      <c r="B71" s="4">
        <v>2324.9699999999998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f t="shared" si="0"/>
        <v>2324.9699999999998</v>
      </c>
    </row>
    <row r="72" spans="1:12" hidden="1" outlineLevel="1" collapsed="1">
      <c r="A72" t="s">
        <v>79</v>
      </c>
      <c r="B72" s="4">
        <v>62.56</v>
      </c>
      <c r="C72" s="4">
        <v>0</v>
      </c>
      <c r="D72" s="4">
        <v>18.690000000000001</v>
      </c>
      <c r="E72" s="4">
        <v>20.7</v>
      </c>
      <c r="F72" s="4">
        <v>26.26</v>
      </c>
      <c r="G72" s="4">
        <v>30.64</v>
      </c>
      <c r="H72" s="4">
        <v>41.5</v>
      </c>
      <c r="I72" s="4">
        <v>30.7</v>
      </c>
      <c r="J72" s="4">
        <v>41.41</v>
      </c>
      <c r="K72" s="4">
        <v>81.47</v>
      </c>
      <c r="L72" s="4">
        <f t="shared" ref="L72:L119" si="1">SUM(B72:K72)</f>
        <v>353.93000000000006</v>
      </c>
    </row>
    <row r="73" spans="1:12" hidden="1" outlineLevel="1" collapsed="1">
      <c r="A73" t="s">
        <v>80</v>
      </c>
      <c r="B73" s="4">
        <v>185</v>
      </c>
      <c r="C73" s="4">
        <v>0</v>
      </c>
      <c r="D73" s="4">
        <v>185</v>
      </c>
      <c r="E73" s="4">
        <v>185</v>
      </c>
      <c r="F73" s="4">
        <v>185</v>
      </c>
      <c r="G73" s="4">
        <v>185</v>
      </c>
      <c r="H73" s="4">
        <v>185</v>
      </c>
      <c r="I73" s="4">
        <v>185</v>
      </c>
      <c r="J73" s="4">
        <v>185</v>
      </c>
      <c r="K73" s="4">
        <v>10013.030000000001</v>
      </c>
      <c r="L73" s="4">
        <f t="shared" si="1"/>
        <v>11493.03</v>
      </c>
    </row>
    <row r="74" spans="1:12" hidden="1" outlineLevel="1" collapsed="1">
      <c r="A74" t="s">
        <v>81</v>
      </c>
      <c r="B74" s="4">
        <v>0</v>
      </c>
      <c r="C74" s="4">
        <v>0</v>
      </c>
      <c r="D74" s="4">
        <v>0.01</v>
      </c>
      <c r="E74" s="4">
        <v>0</v>
      </c>
      <c r="F74" s="4">
        <v>18.82</v>
      </c>
      <c r="G74" s="4">
        <v>4.4800000000000004</v>
      </c>
      <c r="H74" s="4">
        <v>0</v>
      </c>
      <c r="I74" s="4">
        <v>12.99</v>
      </c>
      <c r="J74" s="4">
        <v>2.46</v>
      </c>
      <c r="K74" s="4">
        <v>590.63</v>
      </c>
      <c r="L74" s="4">
        <f t="shared" si="1"/>
        <v>629.39</v>
      </c>
    </row>
    <row r="75" spans="1:12" hidden="1" outlineLevel="1" collapsed="1">
      <c r="A75" t="s">
        <v>82</v>
      </c>
      <c r="B75" s="4">
        <v>290</v>
      </c>
      <c r="C75" s="4">
        <v>400</v>
      </c>
      <c r="D75" s="4">
        <v>315</v>
      </c>
      <c r="E75" s="4">
        <v>446</v>
      </c>
      <c r="F75" s="4">
        <v>210</v>
      </c>
      <c r="G75" s="4">
        <v>265</v>
      </c>
      <c r="H75" s="4">
        <v>168</v>
      </c>
      <c r="I75" s="4">
        <v>825</v>
      </c>
      <c r="J75" s="4">
        <v>0</v>
      </c>
      <c r="K75" s="4">
        <v>336</v>
      </c>
      <c r="L75" s="4">
        <f t="shared" si="1"/>
        <v>3255</v>
      </c>
    </row>
    <row r="76" spans="1:12" hidden="1" outlineLevel="1" collapsed="1">
      <c r="A76" t="s">
        <v>83</v>
      </c>
      <c r="B76" s="4">
        <v>27</v>
      </c>
      <c r="C76" s="4">
        <v>27</v>
      </c>
      <c r="D76" s="4">
        <v>27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f t="shared" si="1"/>
        <v>81</v>
      </c>
    </row>
    <row r="77" spans="1:12" collapsed="1">
      <c r="A77" s="5" t="s">
        <v>84</v>
      </c>
      <c r="B77" s="6">
        <v>495</v>
      </c>
      <c r="C77" s="6">
        <v>3150</v>
      </c>
      <c r="D77" s="6">
        <v>3052</v>
      </c>
      <c r="E77" s="6">
        <v>4650</v>
      </c>
      <c r="F77" s="6">
        <v>2391.6999999999998</v>
      </c>
      <c r="G77" s="6">
        <v>1728.2</v>
      </c>
      <c r="H77" s="6">
        <v>877</v>
      </c>
      <c r="I77" s="6">
        <v>5089.1899999999996</v>
      </c>
      <c r="J77" s="6">
        <v>3767.08</v>
      </c>
      <c r="K77" s="6">
        <v>10356.299999999999</v>
      </c>
      <c r="L77" s="6">
        <f t="shared" si="1"/>
        <v>35556.47</v>
      </c>
    </row>
    <row r="78" spans="1:12" hidden="1" outlineLevel="1" collapsed="1">
      <c r="A78" t="s">
        <v>85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112</v>
      </c>
      <c r="L78" s="4">
        <f t="shared" si="1"/>
        <v>112</v>
      </c>
    </row>
    <row r="79" spans="1:12" hidden="1" outlineLevel="1" collapsed="1">
      <c r="A79" t="s">
        <v>86</v>
      </c>
      <c r="B79" s="4">
        <v>0</v>
      </c>
      <c r="C79" s="4">
        <v>0</v>
      </c>
      <c r="D79" s="4">
        <v>28</v>
      </c>
      <c r="E79" s="4">
        <v>0</v>
      </c>
      <c r="F79" s="4">
        <v>193.6</v>
      </c>
      <c r="G79" s="4">
        <v>1428.2</v>
      </c>
      <c r="H79" s="4">
        <v>40</v>
      </c>
      <c r="I79" s="4">
        <v>0</v>
      </c>
      <c r="J79" s="4">
        <v>0</v>
      </c>
      <c r="K79" s="4">
        <v>0</v>
      </c>
      <c r="L79" s="4">
        <f t="shared" si="1"/>
        <v>1689.8</v>
      </c>
    </row>
    <row r="80" spans="1:12" hidden="1" outlineLevel="1" collapsed="1">
      <c r="A80" t="s">
        <v>87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2567.56</v>
      </c>
      <c r="L80" s="4">
        <f t="shared" si="1"/>
        <v>2567.56</v>
      </c>
    </row>
    <row r="81" spans="1:12" hidden="1" outlineLevel="1" collapsed="1">
      <c r="A81" t="s">
        <v>88</v>
      </c>
      <c r="B81" s="4">
        <v>0</v>
      </c>
      <c r="C81" s="4">
        <v>0</v>
      </c>
      <c r="D81" s="4">
        <v>0</v>
      </c>
      <c r="E81" s="4">
        <v>0</v>
      </c>
      <c r="F81" s="4">
        <v>27</v>
      </c>
      <c r="G81" s="4">
        <v>150</v>
      </c>
      <c r="H81" s="4">
        <v>65</v>
      </c>
      <c r="I81" s="4">
        <v>189.07</v>
      </c>
      <c r="J81" s="4">
        <v>344.31</v>
      </c>
      <c r="K81" s="4">
        <v>1086.74</v>
      </c>
      <c r="L81" s="4">
        <f t="shared" si="1"/>
        <v>1862.12</v>
      </c>
    </row>
    <row r="82" spans="1:12" hidden="1" outlineLevel="1" collapsed="1">
      <c r="A82" t="s">
        <v>89</v>
      </c>
      <c r="B82" s="4">
        <v>495</v>
      </c>
      <c r="C82" s="4">
        <v>150</v>
      </c>
      <c r="D82" s="4">
        <v>220</v>
      </c>
      <c r="E82" s="4">
        <v>150</v>
      </c>
      <c r="F82" s="4">
        <v>150</v>
      </c>
      <c r="G82" s="4">
        <v>150</v>
      </c>
      <c r="H82" s="4">
        <v>150</v>
      </c>
      <c r="I82" s="4">
        <v>4679.12</v>
      </c>
      <c r="J82" s="4">
        <v>522.77</v>
      </c>
      <c r="K82" s="4">
        <v>790</v>
      </c>
      <c r="L82" s="4">
        <f t="shared" si="1"/>
        <v>7456.8899999999994</v>
      </c>
    </row>
    <row r="83" spans="1:12" hidden="1" outlineLevel="1" collapsed="1">
      <c r="A83" t="s">
        <v>90</v>
      </c>
      <c r="B83" s="4">
        <v>0</v>
      </c>
      <c r="C83" s="4">
        <v>3000</v>
      </c>
      <c r="D83" s="4">
        <v>2500</v>
      </c>
      <c r="E83" s="4">
        <v>2500</v>
      </c>
      <c r="F83" s="4">
        <v>2021.1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f t="shared" si="1"/>
        <v>10021.1</v>
      </c>
    </row>
    <row r="84" spans="1:12" hidden="1" outlineLevel="1" collapsed="1">
      <c r="A84" t="s">
        <v>91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221</v>
      </c>
      <c r="J84" s="4">
        <v>0</v>
      </c>
      <c r="K84" s="4">
        <v>0</v>
      </c>
      <c r="L84" s="4">
        <f t="shared" si="1"/>
        <v>221</v>
      </c>
    </row>
    <row r="85" spans="1:12" hidden="1" outlineLevel="1" collapsed="1">
      <c r="A85" t="s">
        <v>92</v>
      </c>
      <c r="B85" s="4">
        <v>0</v>
      </c>
      <c r="C85" s="4">
        <v>0</v>
      </c>
      <c r="D85" s="4">
        <v>304</v>
      </c>
      <c r="E85" s="4">
        <v>0</v>
      </c>
      <c r="F85" s="4">
        <v>0</v>
      </c>
      <c r="G85" s="4">
        <v>0</v>
      </c>
      <c r="H85" s="4">
        <v>228</v>
      </c>
      <c r="I85" s="4">
        <v>0</v>
      </c>
      <c r="J85" s="4">
        <v>0</v>
      </c>
      <c r="K85" s="4">
        <v>0</v>
      </c>
      <c r="L85" s="4">
        <f t="shared" si="1"/>
        <v>532</v>
      </c>
    </row>
    <row r="86" spans="1:12" hidden="1" outlineLevel="1" collapsed="1">
      <c r="A86" t="s">
        <v>93</v>
      </c>
      <c r="B86" s="4">
        <v>0</v>
      </c>
      <c r="C86" s="4">
        <v>0</v>
      </c>
      <c r="D86" s="4">
        <v>0</v>
      </c>
      <c r="E86" s="4">
        <v>2000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f t="shared" si="1"/>
        <v>2000</v>
      </c>
    </row>
    <row r="87" spans="1:12" hidden="1" outlineLevel="1" collapsed="1">
      <c r="A87" t="s">
        <v>94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394</v>
      </c>
      <c r="I87" s="4">
        <v>0</v>
      </c>
      <c r="J87" s="4">
        <v>2900</v>
      </c>
      <c r="K87" s="4">
        <v>5800</v>
      </c>
      <c r="L87" s="4">
        <f t="shared" si="1"/>
        <v>9094</v>
      </c>
    </row>
    <row r="88" spans="1:12" collapsed="1">
      <c r="A88" s="5" t="s">
        <v>95</v>
      </c>
      <c r="B88" s="6">
        <v>749.88</v>
      </c>
      <c r="C88" s="6">
        <v>756.77</v>
      </c>
      <c r="D88" s="6">
        <v>756.77</v>
      </c>
      <c r="E88" s="6">
        <v>748.83</v>
      </c>
      <c r="F88" s="6">
        <v>748.83</v>
      </c>
      <c r="G88" s="6">
        <v>1879.14</v>
      </c>
      <c r="H88" s="6">
        <v>501.71</v>
      </c>
      <c r="I88" s="6">
        <v>382.7</v>
      </c>
      <c r="J88" s="6">
        <v>382.7</v>
      </c>
      <c r="K88" s="6">
        <v>382.7</v>
      </c>
      <c r="L88" s="6">
        <f t="shared" si="1"/>
        <v>7290.03</v>
      </c>
    </row>
    <row r="89" spans="1:12" hidden="1" outlineLevel="1" collapsed="1">
      <c r="A89" t="s">
        <v>96</v>
      </c>
      <c r="B89" s="4">
        <v>383.78</v>
      </c>
      <c r="C89" s="4">
        <v>374.07</v>
      </c>
      <c r="D89" s="4">
        <v>374.07</v>
      </c>
      <c r="E89" s="4">
        <v>366.13</v>
      </c>
      <c r="F89" s="4">
        <v>366.13</v>
      </c>
      <c r="G89" s="4">
        <v>121.44</v>
      </c>
      <c r="H89" s="4">
        <v>119.01</v>
      </c>
      <c r="I89" s="4">
        <v>0</v>
      </c>
      <c r="J89" s="4">
        <v>0</v>
      </c>
      <c r="K89" s="4">
        <v>0</v>
      </c>
      <c r="L89" s="4">
        <f t="shared" si="1"/>
        <v>2104.63</v>
      </c>
    </row>
    <row r="90" spans="1:12" hidden="1" outlineLevel="1" collapsed="1">
      <c r="A90" t="s">
        <v>97</v>
      </c>
      <c r="B90" s="4">
        <v>366.1</v>
      </c>
      <c r="C90" s="4">
        <v>382.7</v>
      </c>
      <c r="D90" s="4">
        <v>382.7</v>
      </c>
      <c r="E90" s="4">
        <v>382.7</v>
      </c>
      <c r="F90" s="4">
        <v>382.7</v>
      </c>
      <c r="G90" s="4">
        <v>1757.7</v>
      </c>
      <c r="H90" s="4">
        <v>382.7</v>
      </c>
      <c r="I90" s="4">
        <v>382.7</v>
      </c>
      <c r="J90" s="4">
        <v>382.7</v>
      </c>
      <c r="K90" s="4">
        <v>382.7</v>
      </c>
      <c r="L90" s="4">
        <f t="shared" si="1"/>
        <v>5185.3999999999996</v>
      </c>
    </row>
    <row r="91" spans="1:12">
      <c r="A91" s="8" t="s">
        <v>98</v>
      </c>
      <c r="B91" s="7">
        <v>504.67</v>
      </c>
      <c r="C91" s="9">
        <v>-16006.37</v>
      </c>
      <c r="D91" s="7">
        <v>32429.78</v>
      </c>
      <c r="E91" s="7">
        <v>348.34</v>
      </c>
      <c r="F91" s="7">
        <v>70711.5</v>
      </c>
      <c r="G91" s="7">
        <v>86423.4</v>
      </c>
      <c r="H91" s="7">
        <v>62643.08</v>
      </c>
      <c r="I91" s="7">
        <v>54769.38</v>
      </c>
      <c r="J91" s="9">
        <v>-3344.6</v>
      </c>
      <c r="K91" s="9">
        <v>-13928.68</v>
      </c>
      <c r="L91" s="7">
        <f t="shared" si="1"/>
        <v>274550.50000000006</v>
      </c>
    </row>
    <row r="92" spans="1:12">
      <c r="A92" s="8" t="s">
        <v>99</v>
      </c>
      <c r="B92" s="7">
        <v>0.26142307247817026</v>
      </c>
      <c r="C92" s="9">
        <v>-11.108367510934437</v>
      </c>
      <c r="D92" s="7">
        <v>14.150599176999407</v>
      </c>
      <c r="E92" s="7">
        <v>0.16256471624164043</v>
      </c>
      <c r="F92" s="7">
        <v>22.550963426500122</v>
      </c>
      <c r="G92" s="7">
        <v>26.056327390873218</v>
      </c>
      <c r="H92" s="7">
        <v>20.867161828775568</v>
      </c>
      <c r="I92" s="7">
        <v>19.755114601882141</v>
      </c>
      <c r="J92" s="9">
        <v>-1.5508205795736352</v>
      </c>
      <c r="K92" s="9">
        <v>-6.953570657444283</v>
      </c>
      <c r="L92" s="7">
        <f t="shared" si="1"/>
        <v>84.191395465797896</v>
      </c>
    </row>
    <row r="93" spans="1:12" collapsed="1">
      <c r="A93" s="5" t="s">
        <v>100</v>
      </c>
      <c r="B93" s="6">
        <v>106.2</v>
      </c>
      <c r="C93" s="6">
        <v>902.74</v>
      </c>
      <c r="D93" s="6">
        <v>175.4</v>
      </c>
      <c r="E93" s="6">
        <v>358.77</v>
      </c>
      <c r="F93" s="6">
        <v>976.77</v>
      </c>
      <c r="G93" s="6">
        <v>1829.04</v>
      </c>
      <c r="H93" s="6">
        <v>0.65</v>
      </c>
      <c r="I93" s="6">
        <v>393.11</v>
      </c>
      <c r="J93" s="6">
        <v>270.01</v>
      </c>
      <c r="K93" s="6">
        <v>256.79000000000002</v>
      </c>
      <c r="L93" s="6">
        <f t="shared" si="1"/>
        <v>5269.48</v>
      </c>
    </row>
    <row r="94" spans="1:12" hidden="1" outlineLevel="1" collapsed="1">
      <c r="A94" t="s">
        <v>101</v>
      </c>
      <c r="B94" s="4">
        <v>1.64</v>
      </c>
      <c r="C94" s="4">
        <v>1.34</v>
      </c>
      <c r="D94" s="4">
        <v>0.2</v>
      </c>
      <c r="E94" s="4">
        <v>2.35</v>
      </c>
      <c r="F94" s="4">
        <v>1.06</v>
      </c>
      <c r="G94" s="4">
        <v>0.25</v>
      </c>
      <c r="H94" s="4">
        <v>0.65</v>
      </c>
      <c r="I94" s="4">
        <v>1.31</v>
      </c>
      <c r="J94" s="4">
        <v>19.53</v>
      </c>
      <c r="K94" s="4">
        <v>0.12</v>
      </c>
      <c r="L94" s="4">
        <f t="shared" si="1"/>
        <v>28.450000000000003</v>
      </c>
    </row>
    <row r="95" spans="1:12" hidden="1" outlineLevel="1" collapsed="1">
      <c r="A95" t="s">
        <v>102</v>
      </c>
      <c r="B95" s="4">
        <v>104.56</v>
      </c>
      <c r="C95" s="4">
        <v>901.4</v>
      </c>
      <c r="D95" s="4">
        <v>175.2</v>
      </c>
      <c r="E95" s="4">
        <v>356.42</v>
      </c>
      <c r="F95" s="4">
        <v>975.71</v>
      </c>
      <c r="G95" s="4">
        <v>1828.79</v>
      </c>
      <c r="H95" s="4">
        <v>0</v>
      </c>
      <c r="I95" s="4">
        <v>391.8</v>
      </c>
      <c r="J95" s="4">
        <v>250.48</v>
      </c>
      <c r="K95" s="4">
        <v>256.67</v>
      </c>
      <c r="L95" s="4">
        <f t="shared" si="1"/>
        <v>5241.03</v>
      </c>
    </row>
    <row r="96" spans="1:12" collapsed="1">
      <c r="A96" s="5" t="s">
        <v>103</v>
      </c>
      <c r="B96" s="6">
        <v>1111.3699999999999</v>
      </c>
      <c r="C96" s="6">
        <v>1123.02</v>
      </c>
      <c r="D96" s="6">
        <v>2397.7399999999998</v>
      </c>
      <c r="E96" s="6">
        <v>1624.94</v>
      </c>
      <c r="F96" s="6">
        <v>671.47</v>
      </c>
      <c r="G96" s="6">
        <v>1783.83</v>
      </c>
      <c r="H96" s="6">
        <v>1773.64</v>
      </c>
      <c r="I96" s="6">
        <v>1777.61</v>
      </c>
      <c r="J96" s="6">
        <v>2530.89</v>
      </c>
      <c r="K96" s="6">
        <v>1654.79</v>
      </c>
      <c r="L96" s="6">
        <f t="shared" si="1"/>
        <v>16449.3</v>
      </c>
    </row>
    <row r="97" spans="1:12" hidden="1" outlineLevel="1" collapsed="1">
      <c r="A97" t="s">
        <v>104</v>
      </c>
      <c r="B97" s="4">
        <v>107.06</v>
      </c>
      <c r="C97" s="4">
        <v>117.84</v>
      </c>
      <c r="D97" s="4">
        <v>346.65</v>
      </c>
      <c r="E97" s="4">
        <v>579.03</v>
      </c>
      <c r="F97" s="4">
        <v>671.47</v>
      </c>
      <c r="G97" s="4">
        <v>737.92</v>
      </c>
      <c r="H97" s="4">
        <v>727.73</v>
      </c>
      <c r="I97" s="4">
        <v>731.7</v>
      </c>
      <c r="J97" s="4">
        <v>1484.98</v>
      </c>
      <c r="K97" s="4">
        <v>608.88</v>
      </c>
      <c r="L97" s="4">
        <f t="shared" si="1"/>
        <v>6113.2599999999993</v>
      </c>
    </row>
    <row r="98" spans="1:12" hidden="1" outlineLevel="1" collapsed="1">
      <c r="A98" t="s">
        <v>105</v>
      </c>
      <c r="B98" s="4">
        <v>1004.31</v>
      </c>
      <c r="C98" s="4">
        <v>1005.18</v>
      </c>
      <c r="D98" s="4">
        <v>2051.09</v>
      </c>
      <c r="E98" s="4">
        <v>1045.9100000000001</v>
      </c>
      <c r="F98" s="4">
        <v>0</v>
      </c>
      <c r="G98" s="4">
        <v>1045.9100000000001</v>
      </c>
      <c r="H98" s="4">
        <v>1045.9100000000001</v>
      </c>
      <c r="I98" s="4">
        <v>1045.9100000000001</v>
      </c>
      <c r="J98" s="4">
        <v>1045.9100000000001</v>
      </c>
      <c r="K98" s="4">
        <v>1045.9100000000001</v>
      </c>
      <c r="L98" s="4">
        <f t="shared" si="1"/>
        <v>10336.039999999999</v>
      </c>
    </row>
    <row r="99" spans="1:12">
      <c r="A99" t="s">
        <v>106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f t="shared" si="1"/>
        <v>0</v>
      </c>
    </row>
    <row r="100" spans="1:12">
      <c r="A100" s="8" t="s">
        <v>107</v>
      </c>
      <c r="B100" s="9">
        <v>-500.5</v>
      </c>
      <c r="C100" s="9">
        <v>-16226.65</v>
      </c>
      <c r="D100" s="7">
        <v>30207.439999999999</v>
      </c>
      <c r="E100" s="9">
        <v>-917.83</v>
      </c>
      <c r="F100" s="7">
        <v>71016.800000000003</v>
      </c>
      <c r="G100" s="7">
        <v>86468.61</v>
      </c>
      <c r="H100" s="7">
        <v>60870.09</v>
      </c>
      <c r="I100" s="7">
        <v>53384.88</v>
      </c>
      <c r="J100" s="9">
        <v>-5605.48</v>
      </c>
      <c r="K100" s="9">
        <v>-15326.68</v>
      </c>
      <c r="L100" s="7">
        <f t="shared" si="1"/>
        <v>263370.68</v>
      </c>
    </row>
    <row r="101" spans="1:12">
      <c r="A101" s="8" t="s">
        <v>108</v>
      </c>
      <c r="B101" s="9">
        <v>-0.25912043084091235</v>
      </c>
      <c r="C101" s="9">
        <v>-11.191128837313396</v>
      </c>
      <c r="D101" s="7">
        <v>13.170810104424032</v>
      </c>
      <c r="E101" s="9">
        <v>-0.42762063173688392</v>
      </c>
      <c r="F101" s="7">
        <v>22.577996233037169</v>
      </c>
      <c r="G101" s="7">
        <v>25.926984037602438</v>
      </c>
      <c r="H101" s="7">
        <v>20.27651367598359</v>
      </c>
      <c r="I101" s="7">
        <v>19.228465843760194</v>
      </c>
      <c r="J101" s="9">
        <v>-2.5958930144642536</v>
      </c>
      <c r="K101" s="9">
        <v>-7.6416933751761391</v>
      </c>
      <c r="L101" s="7">
        <f t="shared" si="1"/>
        <v>79.065313605275833</v>
      </c>
    </row>
    <row r="102" spans="1:12" collapsed="1">
      <c r="A102" s="5" t="s">
        <v>109</v>
      </c>
      <c r="B102" s="6">
        <v>3293.02</v>
      </c>
      <c r="C102" s="6">
        <v>1054.5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687.5</v>
      </c>
      <c r="K102" s="6">
        <v>376.35</v>
      </c>
      <c r="L102" s="6">
        <f t="shared" si="1"/>
        <v>5411.3700000000008</v>
      </c>
    </row>
    <row r="103" spans="1:12" hidden="1" outlineLevel="1" collapsed="1">
      <c r="A103" t="s">
        <v>110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687.5</v>
      </c>
      <c r="K103" s="4">
        <v>0</v>
      </c>
      <c r="L103" s="4">
        <f t="shared" si="1"/>
        <v>687.5</v>
      </c>
    </row>
    <row r="104" spans="1:12" hidden="1" outlineLevel="1" collapsed="1">
      <c r="A104" t="s">
        <v>111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42.06</v>
      </c>
      <c r="L104" s="4">
        <f t="shared" si="1"/>
        <v>42.06</v>
      </c>
    </row>
    <row r="105" spans="1:12" hidden="1" outlineLevel="1" collapsed="1">
      <c r="A105" t="s">
        <v>112</v>
      </c>
      <c r="B105" s="4">
        <v>3293.02</v>
      </c>
      <c r="C105" s="4">
        <v>1054.5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334.29</v>
      </c>
      <c r="L105" s="4">
        <f t="shared" si="1"/>
        <v>4681.8100000000004</v>
      </c>
    </row>
    <row r="106" spans="1:12" collapsed="1">
      <c r="A106" s="5" t="s">
        <v>113</v>
      </c>
      <c r="B106" s="6">
        <v>1097</v>
      </c>
      <c r="C106" s="6">
        <v>0</v>
      </c>
      <c r="D106" s="6">
        <v>9813.81</v>
      </c>
      <c r="E106" s="6">
        <v>6345.28</v>
      </c>
      <c r="F106" s="6">
        <v>7554.26</v>
      </c>
      <c r="G106" s="6">
        <v>3154.18</v>
      </c>
      <c r="H106" s="6">
        <v>2364.4</v>
      </c>
      <c r="I106" s="6">
        <v>28286.57</v>
      </c>
      <c r="J106" s="6">
        <v>6979.19</v>
      </c>
      <c r="K106" s="6">
        <v>3300.5</v>
      </c>
      <c r="L106" s="6">
        <f t="shared" si="1"/>
        <v>68895.19</v>
      </c>
    </row>
    <row r="107" spans="1:12" hidden="1" outlineLevel="1" collapsed="1">
      <c r="A107" t="s">
        <v>114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1338.64</v>
      </c>
      <c r="K107" s="4">
        <v>2531.61</v>
      </c>
      <c r="L107" s="4">
        <f t="shared" si="1"/>
        <v>3870.25</v>
      </c>
    </row>
    <row r="108" spans="1:12" hidden="1" outlineLevel="1" collapsed="1">
      <c r="A108" t="s">
        <v>115</v>
      </c>
      <c r="B108" s="4">
        <v>1097</v>
      </c>
      <c r="C108" s="4">
        <v>0</v>
      </c>
      <c r="D108" s="4">
        <v>174.64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200</v>
      </c>
      <c r="K108" s="4">
        <v>0</v>
      </c>
      <c r="L108" s="4">
        <f t="shared" si="1"/>
        <v>1471.6399999999999</v>
      </c>
    </row>
    <row r="109" spans="1:12" hidden="1" outlineLevel="1" collapsed="1">
      <c r="A109" t="s">
        <v>116</v>
      </c>
      <c r="B109" s="4">
        <v>0</v>
      </c>
      <c r="C109" s="4">
        <v>0</v>
      </c>
      <c r="D109" s="4">
        <v>0</v>
      </c>
      <c r="E109" s="4">
        <v>0</v>
      </c>
      <c r="F109" s="4">
        <v>178.56</v>
      </c>
      <c r="G109" s="4">
        <v>116</v>
      </c>
      <c r="H109" s="4">
        <v>117.8</v>
      </c>
      <c r="I109" s="4">
        <v>0</v>
      </c>
      <c r="J109" s="4">
        <v>0</v>
      </c>
      <c r="K109" s="4">
        <v>329.9</v>
      </c>
      <c r="L109" s="4">
        <f t="shared" si="1"/>
        <v>742.26</v>
      </c>
    </row>
    <row r="110" spans="1:12" hidden="1" outlineLevel="1" collapsed="1">
      <c r="A110" t="s">
        <v>117</v>
      </c>
      <c r="B110" s="4">
        <v>0</v>
      </c>
      <c r="C110" s="4">
        <v>0</v>
      </c>
      <c r="D110" s="4">
        <v>9639.17</v>
      </c>
      <c r="E110" s="4">
        <v>6345.28</v>
      </c>
      <c r="F110" s="4">
        <v>7375.7</v>
      </c>
      <c r="G110" s="4">
        <v>3038.18</v>
      </c>
      <c r="H110" s="4">
        <v>2246.6</v>
      </c>
      <c r="I110" s="4">
        <v>2822.43</v>
      </c>
      <c r="J110" s="4">
        <v>4854.3900000000003</v>
      </c>
      <c r="K110" s="4">
        <v>378.99</v>
      </c>
      <c r="L110" s="4">
        <f t="shared" si="1"/>
        <v>36700.74</v>
      </c>
    </row>
    <row r="111" spans="1:12" hidden="1" outlineLevel="1" collapsed="1">
      <c r="A111" t="s">
        <v>118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462.54</v>
      </c>
      <c r="K111" s="4">
        <v>0</v>
      </c>
      <c r="L111" s="4">
        <f t="shared" si="1"/>
        <v>462.54</v>
      </c>
    </row>
    <row r="112" spans="1:12" hidden="1" outlineLevel="1" collapsed="1">
      <c r="A112" t="s">
        <v>119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123.62</v>
      </c>
      <c r="K112" s="4">
        <v>0</v>
      </c>
      <c r="L112" s="4">
        <f t="shared" si="1"/>
        <v>123.62</v>
      </c>
    </row>
    <row r="113" spans="1:12" hidden="1" outlineLevel="1" collapsed="1">
      <c r="A113" t="s">
        <v>120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25464.14</v>
      </c>
      <c r="J113" s="4">
        <v>0</v>
      </c>
      <c r="K113" s="4">
        <v>60</v>
      </c>
      <c r="L113" s="4">
        <f t="shared" si="1"/>
        <v>25524.14</v>
      </c>
    </row>
    <row r="114" spans="1:12" collapsed="1">
      <c r="A114" s="5" t="s">
        <v>121</v>
      </c>
      <c r="B114" s="6">
        <v>0</v>
      </c>
      <c r="C114" s="6">
        <v>386.9</v>
      </c>
      <c r="D114" s="6">
        <v>0</v>
      </c>
      <c r="E114" s="6">
        <v>0</v>
      </c>
      <c r="F114" s="6">
        <v>1540</v>
      </c>
      <c r="G114" s="6">
        <v>1575.2</v>
      </c>
      <c r="H114" s="6">
        <v>0</v>
      </c>
      <c r="I114" s="6">
        <v>461.39</v>
      </c>
      <c r="J114" s="6">
        <v>0</v>
      </c>
      <c r="K114" s="6">
        <v>0</v>
      </c>
      <c r="L114" s="6">
        <f t="shared" si="1"/>
        <v>3963.4900000000002</v>
      </c>
    </row>
    <row r="115" spans="1:12" hidden="1" outlineLevel="1" collapsed="1">
      <c r="A115" t="s">
        <v>122</v>
      </c>
      <c r="B115" s="4">
        <v>0</v>
      </c>
      <c r="C115" s="4">
        <v>386.9</v>
      </c>
      <c r="D115" s="4">
        <v>0</v>
      </c>
      <c r="E115" s="4">
        <v>0</v>
      </c>
      <c r="F115" s="4">
        <v>1540</v>
      </c>
      <c r="G115" s="4">
        <v>1575.2</v>
      </c>
      <c r="H115" s="4">
        <v>0</v>
      </c>
      <c r="I115" s="4">
        <v>461.39</v>
      </c>
      <c r="J115" s="4">
        <v>0</v>
      </c>
      <c r="K115" s="4">
        <v>0</v>
      </c>
      <c r="L115" s="4">
        <f t="shared" si="1"/>
        <v>3963.4900000000002</v>
      </c>
    </row>
    <row r="116" spans="1:12" collapsed="1">
      <c r="A116" s="5" t="s">
        <v>123</v>
      </c>
      <c r="B116" s="6">
        <v>0</v>
      </c>
      <c r="C116" s="6">
        <v>205</v>
      </c>
      <c r="D116" s="6">
        <v>0</v>
      </c>
      <c r="E116" s="6">
        <v>0</v>
      </c>
      <c r="F116" s="6">
        <v>1540</v>
      </c>
      <c r="G116" s="6">
        <v>1575.2</v>
      </c>
      <c r="H116" s="6">
        <v>0</v>
      </c>
      <c r="I116" s="6">
        <v>0</v>
      </c>
      <c r="J116" s="6">
        <v>0</v>
      </c>
      <c r="K116" s="6">
        <v>0</v>
      </c>
      <c r="L116" s="6">
        <f t="shared" si="1"/>
        <v>3320.2</v>
      </c>
    </row>
    <row r="117" spans="1:12" hidden="1" outlineLevel="1" collapsed="1">
      <c r="A117" t="s">
        <v>124</v>
      </c>
      <c r="B117" s="4">
        <v>0</v>
      </c>
      <c r="C117" s="4">
        <v>205</v>
      </c>
      <c r="D117" s="4">
        <v>0</v>
      </c>
      <c r="E117" s="4">
        <v>0</v>
      </c>
      <c r="F117" s="4">
        <v>1540</v>
      </c>
      <c r="G117" s="4">
        <v>1575.2</v>
      </c>
      <c r="H117" s="4">
        <v>0</v>
      </c>
      <c r="I117" s="4">
        <v>0</v>
      </c>
      <c r="J117" s="4">
        <v>0</v>
      </c>
      <c r="K117" s="4">
        <v>0</v>
      </c>
      <c r="L117" s="4">
        <f t="shared" si="1"/>
        <v>3320.2</v>
      </c>
    </row>
    <row r="118" spans="1:12">
      <c r="A118" s="8" t="s">
        <v>125</v>
      </c>
      <c r="B118" s="7">
        <v>1695.52</v>
      </c>
      <c r="C118" s="9">
        <v>-14990.25</v>
      </c>
      <c r="D118" s="7">
        <v>20393.63</v>
      </c>
      <c r="E118" s="9">
        <v>-7263.11</v>
      </c>
      <c r="F118" s="7">
        <v>63462.54</v>
      </c>
      <c r="G118" s="7">
        <v>83314.429999999993</v>
      </c>
      <c r="H118" s="7">
        <v>58505.69</v>
      </c>
      <c r="I118" s="7">
        <v>25559.7</v>
      </c>
      <c r="J118" s="9">
        <v>-11897.17</v>
      </c>
      <c r="K118" s="9">
        <v>-18250.830000000002</v>
      </c>
      <c r="L118" s="7">
        <f t="shared" si="1"/>
        <v>200530.15000000002</v>
      </c>
    </row>
    <row r="119" spans="1:12">
      <c r="A119" s="8" t="s">
        <v>126</v>
      </c>
      <c r="B119" s="7">
        <v>191785.47196003151</v>
      </c>
      <c r="C119" s="7">
        <v>179874.68428850351</v>
      </c>
      <c r="D119" s="7">
        <v>168508.40107918263</v>
      </c>
      <c r="E119" s="7">
        <v>213484.27228498351</v>
      </c>
      <c r="F119" s="7">
        <v>184696.37685432809</v>
      </c>
      <c r="G119" s="7">
        <v>177596.21543443541</v>
      </c>
      <c r="H119" s="7">
        <v>172936.15634883399</v>
      </c>
      <c r="I119" s="7">
        <v>173288.77579187471</v>
      </c>
      <c r="J119" s="7">
        <v>224703.84713850208</v>
      </c>
      <c r="K119" s="7">
        <v>234464.04147198665</v>
      </c>
      <c r="L119" s="7">
        <f t="shared" si="1"/>
        <v>1921338.2426526621</v>
      </c>
    </row>
  </sheetData>
  <mergeCells count="3">
    <mergeCell ref="C1:L1"/>
    <mergeCell ref="C2:L2"/>
    <mergeCell ref="A4:L4"/>
  </mergeCells>
  <pageMargins left="0.511811024" right="0.511811024" top="0.78740157499999996" bottom="0.78740157499999996" header="0.31496062000000002" footer="0.31496062000000002"/>
  <ignoredErrors>
    <ignoredError sqref="C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116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89" sqref="G89"/>
    </sheetView>
  </sheetViews>
  <sheetFormatPr defaultRowHeight="15" outlineLevelRow="1"/>
  <cols>
    <col min="1" max="1" width="55.5703125" customWidth="1"/>
    <col min="2" max="2" width="13.140625" customWidth="1"/>
    <col min="3" max="3" width="13.42578125" customWidth="1"/>
    <col min="4" max="5" width="13.140625" customWidth="1"/>
    <col min="6" max="6" width="13.42578125" customWidth="1"/>
    <col min="7" max="7" width="14" customWidth="1"/>
    <col min="8" max="8" width="13.140625" customWidth="1"/>
    <col min="9" max="11" width="13.42578125" customWidth="1"/>
    <col min="12" max="12" width="15.28515625" customWidth="1"/>
  </cols>
  <sheetData>
    <row r="1" spans="1:12" ht="60" customHeight="1">
      <c r="C1" s="10" t="s">
        <v>127</v>
      </c>
      <c r="D1" s="11"/>
      <c r="E1" s="11"/>
      <c r="F1" s="11"/>
      <c r="G1" s="11"/>
      <c r="H1" s="11"/>
      <c r="I1" s="11"/>
      <c r="J1" s="11"/>
      <c r="K1" s="11"/>
      <c r="L1" s="11"/>
    </row>
    <row r="2" spans="1:12">
      <c r="C2" s="12" t="s">
        <v>1</v>
      </c>
      <c r="D2" s="11"/>
      <c r="E2" s="11"/>
      <c r="F2" s="11"/>
      <c r="G2" s="11"/>
      <c r="H2" s="11"/>
      <c r="I2" s="11"/>
      <c r="J2" s="11"/>
      <c r="K2" s="11"/>
      <c r="L2" s="11"/>
    </row>
    <row r="3" spans="1:12" ht="5.099999999999999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3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3" t="s">
        <v>127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</row>
    <row r="7" spans="1:12" collapsed="1">
      <c r="A7" s="5" t="s">
        <v>14</v>
      </c>
      <c r="B7" s="6">
        <v>197415.79</v>
      </c>
      <c r="C7" s="6">
        <v>144494.43</v>
      </c>
      <c r="D7" s="6">
        <v>234370.7</v>
      </c>
      <c r="E7" s="6">
        <v>209241.28</v>
      </c>
      <c r="F7" s="6">
        <v>290088.34999999998</v>
      </c>
      <c r="G7" s="6">
        <v>359437.24</v>
      </c>
      <c r="H7" s="6">
        <v>296485.43</v>
      </c>
      <c r="I7" s="6">
        <v>249347.27</v>
      </c>
      <c r="J7" s="6">
        <v>246924.62</v>
      </c>
      <c r="K7" s="6">
        <v>196171.85</v>
      </c>
      <c r="L7" s="6">
        <f>SUM(B7:K7)</f>
        <v>2423976.96</v>
      </c>
    </row>
    <row r="8" spans="1:12" hidden="1" outlineLevel="1" collapsed="1">
      <c r="A8" t="s">
        <v>15</v>
      </c>
      <c r="B8" s="4">
        <v>0</v>
      </c>
      <c r="C8" s="4">
        <v>27476.71</v>
      </c>
      <c r="D8" s="4">
        <v>80864.740000000005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f t="shared" ref="L8:L71" si="0">SUM(B8:K8)</f>
        <v>108341.45000000001</v>
      </c>
    </row>
    <row r="9" spans="1:12" hidden="1" outlineLevel="1" collapsed="1">
      <c r="A9" t="s">
        <v>16</v>
      </c>
      <c r="B9" s="4">
        <v>9733.25</v>
      </c>
      <c r="C9" s="4">
        <v>6784.66</v>
      </c>
      <c r="D9" s="4">
        <v>12285.75</v>
      </c>
      <c r="E9" s="4">
        <v>7698</v>
      </c>
      <c r="F9" s="4">
        <v>12709.23</v>
      </c>
      <c r="G9" s="4">
        <v>12580.92</v>
      </c>
      <c r="H9" s="4">
        <v>15932.97</v>
      </c>
      <c r="I9" s="4">
        <v>11920.51</v>
      </c>
      <c r="J9" s="4">
        <v>26038.75</v>
      </c>
      <c r="K9" s="4">
        <v>11073.43</v>
      </c>
      <c r="L9" s="4">
        <f t="shared" si="0"/>
        <v>126757.47</v>
      </c>
    </row>
    <row r="10" spans="1:12" hidden="1" outlineLevel="1" collapsed="1">
      <c r="A10" t="s">
        <v>17</v>
      </c>
      <c r="B10" s="4">
        <v>164224.81</v>
      </c>
      <c r="C10" s="4">
        <v>89389.73</v>
      </c>
      <c r="D10" s="4">
        <v>104832.1</v>
      </c>
      <c r="E10" s="4">
        <v>161704.16</v>
      </c>
      <c r="F10" s="4">
        <v>238209.61</v>
      </c>
      <c r="G10" s="4">
        <v>304814.5</v>
      </c>
      <c r="H10" s="4">
        <v>247206.55</v>
      </c>
      <c r="I10" s="4">
        <v>205715.8</v>
      </c>
      <c r="J10" s="4">
        <v>192661.55</v>
      </c>
      <c r="K10" s="4">
        <v>153876.94</v>
      </c>
      <c r="L10" s="4">
        <f t="shared" si="0"/>
        <v>1862635.7500000002</v>
      </c>
    </row>
    <row r="11" spans="1:12" hidden="1" outlineLevel="1" collapsed="1">
      <c r="A11" t="s">
        <v>18</v>
      </c>
      <c r="B11" s="4">
        <v>23457.73</v>
      </c>
      <c r="C11" s="4">
        <v>20843.330000000002</v>
      </c>
      <c r="D11" s="4">
        <v>36108.11</v>
      </c>
      <c r="E11" s="4">
        <v>39839.120000000003</v>
      </c>
      <c r="F11" s="4">
        <v>39169.51</v>
      </c>
      <c r="G11" s="4">
        <v>42041.82</v>
      </c>
      <c r="H11" s="4">
        <v>33343.589999999997</v>
      </c>
      <c r="I11" s="4">
        <v>31710.959999999999</v>
      </c>
      <c r="J11" s="4">
        <v>28224.28</v>
      </c>
      <c r="K11" s="4">
        <v>31221.43</v>
      </c>
      <c r="L11" s="4">
        <f t="shared" si="0"/>
        <v>325959.88000000006</v>
      </c>
    </row>
    <row r="12" spans="1:12" hidden="1" outlineLevel="1" collapsed="1">
      <c r="A12" t="s">
        <v>19</v>
      </c>
      <c r="B12" s="4">
        <v>0</v>
      </c>
      <c r="C12" s="4">
        <v>0</v>
      </c>
      <c r="D12" s="4">
        <v>280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f t="shared" si="0"/>
        <v>280</v>
      </c>
    </row>
    <row r="13" spans="1:12" hidden="1" outlineLevel="1" collapsed="1">
      <c r="A13" t="s">
        <v>20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2.3199999999999998</v>
      </c>
      <c r="I13" s="4">
        <v>0</v>
      </c>
      <c r="J13" s="4">
        <v>0.04</v>
      </c>
      <c r="K13" s="4">
        <v>0.05</v>
      </c>
      <c r="L13" s="4">
        <f t="shared" si="0"/>
        <v>2.4099999999999997</v>
      </c>
    </row>
    <row r="14" spans="1:12" collapsed="1">
      <c r="A14" s="5" t="s">
        <v>21</v>
      </c>
      <c r="B14" s="6">
        <v>4723.79</v>
      </c>
      <c r="C14" s="6">
        <v>3360.95</v>
      </c>
      <c r="D14" s="6">
        <v>4960.1000000000004</v>
      </c>
      <c r="E14" s="6">
        <v>4448.07</v>
      </c>
      <c r="F14" s="6">
        <v>6089.19</v>
      </c>
      <c r="G14" s="6">
        <v>8125.97</v>
      </c>
      <c r="H14" s="6">
        <v>6948.75</v>
      </c>
      <c r="I14" s="6">
        <v>5778.21</v>
      </c>
      <c r="J14" s="6">
        <v>4853.01</v>
      </c>
      <c r="K14" s="6">
        <v>5042.8</v>
      </c>
      <c r="L14" s="6">
        <f t="shared" si="0"/>
        <v>54330.840000000004</v>
      </c>
    </row>
    <row r="15" spans="1:12" hidden="1" outlineLevel="1" collapsed="1">
      <c r="A15" t="s">
        <v>22</v>
      </c>
      <c r="B15" s="4">
        <v>0</v>
      </c>
      <c r="C15" s="4">
        <v>532.1</v>
      </c>
      <c r="D15" s="4">
        <v>1334.24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f t="shared" si="0"/>
        <v>1866.3400000000001</v>
      </c>
    </row>
    <row r="16" spans="1:12" hidden="1" outlineLevel="1" collapsed="1">
      <c r="A16" t="s">
        <v>23</v>
      </c>
      <c r="B16" s="4">
        <v>0</v>
      </c>
      <c r="C16" s="4">
        <v>231.6</v>
      </c>
      <c r="D16" s="4">
        <v>596.79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f t="shared" si="0"/>
        <v>828.39</v>
      </c>
    </row>
    <row r="17" spans="1:12" hidden="1" outlineLevel="1" collapsed="1">
      <c r="A17" t="s">
        <v>24</v>
      </c>
      <c r="B17" s="4">
        <v>0</v>
      </c>
      <c r="C17" s="4">
        <v>0</v>
      </c>
      <c r="D17" s="4">
        <v>511.99</v>
      </c>
      <c r="E17" s="4">
        <v>708.36</v>
      </c>
      <c r="F17" s="4">
        <v>795.1</v>
      </c>
      <c r="G17" s="4">
        <v>795.1</v>
      </c>
      <c r="H17" s="4">
        <v>1067.9000000000001</v>
      </c>
      <c r="I17" s="4">
        <v>795.1</v>
      </c>
      <c r="J17" s="4">
        <v>0.03</v>
      </c>
      <c r="K17" s="4">
        <v>0.02</v>
      </c>
      <c r="L17" s="4">
        <f t="shared" si="0"/>
        <v>4673.6000000000004</v>
      </c>
    </row>
    <row r="18" spans="1:12" hidden="1" outlineLevel="1" collapsed="1">
      <c r="A18" t="s">
        <v>25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200</v>
      </c>
      <c r="L18" s="4">
        <f t="shared" si="0"/>
        <v>200</v>
      </c>
    </row>
    <row r="19" spans="1:12" hidden="1" outlineLevel="1" collapsed="1">
      <c r="A19" t="s">
        <v>26</v>
      </c>
      <c r="B19" s="4">
        <v>59</v>
      </c>
      <c r="C19" s="4">
        <v>457.52</v>
      </c>
      <c r="D19" s="4">
        <v>299.95999999999998</v>
      </c>
      <c r="E19" s="4">
        <v>266.06</v>
      </c>
      <c r="F19" s="4">
        <v>266.02999999999997</v>
      </c>
      <c r="G19" s="4">
        <v>266.08999999999997</v>
      </c>
      <c r="H19" s="4">
        <v>59.12</v>
      </c>
      <c r="I19" s="4">
        <v>187.1</v>
      </c>
      <c r="J19" s="4">
        <v>266.05</v>
      </c>
      <c r="K19" s="4">
        <v>936.24</v>
      </c>
      <c r="L19" s="4">
        <f t="shared" si="0"/>
        <v>3063.17</v>
      </c>
    </row>
    <row r="20" spans="1:12" hidden="1" outlineLevel="1" collapsed="1">
      <c r="A20" t="s">
        <v>27</v>
      </c>
      <c r="B20" s="4">
        <v>0</v>
      </c>
      <c r="C20" s="4">
        <v>580.36</v>
      </c>
      <c r="D20" s="4">
        <v>859.76</v>
      </c>
      <c r="E20" s="4">
        <v>1301.55</v>
      </c>
      <c r="F20" s="4">
        <v>1944.37</v>
      </c>
      <c r="G20" s="4">
        <v>3114.65</v>
      </c>
      <c r="H20" s="4">
        <v>2400.1799999999998</v>
      </c>
      <c r="I20" s="4">
        <v>2029.51</v>
      </c>
      <c r="J20" s="4">
        <v>2101.94</v>
      </c>
      <c r="K20" s="4">
        <v>1788.84</v>
      </c>
      <c r="L20" s="4">
        <f t="shared" si="0"/>
        <v>16121.160000000002</v>
      </c>
    </row>
    <row r="21" spans="1:12" hidden="1" outlineLevel="1" collapsed="1">
      <c r="A21" t="s">
        <v>28</v>
      </c>
      <c r="B21" s="4">
        <v>4664.79</v>
      </c>
      <c r="C21" s="4">
        <v>1559.37</v>
      </c>
      <c r="D21" s="4">
        <v>1357.36</v>
      </c>
      <c r="E21" s="4">
        <v>2172.1</v>
      </c>
      <c r="F21" s="4">
        <v>3083.69</v>
      </c>
      <c r="G21" s="4">
        <v>3950.13</v>
      </c>
      <c r="H21" s="4">
        <v>3421.55</v>
      </c>
      <c r="I21" s="4">
        <v>2766.5</v>
      </c>
      <c r="J21" s="4">
        <v>2484.9899999999998</v>
      </c>
      <c r="K21" s="4">
        <v>2117.6999999999998</v>
      </c>
      <c r="L21" s="4">
        <f t="shared" si="0"/>
        <v>27578.179999999997</v>
      </c>
    </row>
    <row r="22" spans="1:12" collapsed="1">
      <c r="A22" s="5" t="s">
        <v>29</v>
      </c>
      <c r="B22" s="6">
        <v>3743.72</v>
      </c>
      <c r="C22" s="6">
        <v>3489.86</v>
      </c>
      <c r="D22" s="6">
        <v>2366.65</v>
      </c>
      <c r="E22" s="6">
        <v>4458.62</v>
      </c>
      <c r="F22" s="6">
        <v>3196.61</v>
      </c>
      <c r="G22" s="6">
        <v>4513.3599999999997</v>
      </c>
      <c r="H22" s="6">
        <v>7764.66</v>
      </c>
      <c r="I22" s="6">
        <v>4538.97</v>
      </c>
      <c r="J22" s="6">
        <v>4854.54</v>
      </c>
      <c r="K22" s="6">
        <v>2816.58</v>
      </c>
      <c r="L22" s="6">
        <f t="shared" si="0"/>
        <v>41743.57</v>
      </c>
    </row>
    <row r="23" spans="1:12" hidden="1" outlineLevel="1" collapsed="1">
      <c r="A23" t="s">
        <v>30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671.96</v>
      </c>
      <c r="I23" s="4">
        <v>0</v>
      </c>
      <c r="J23" s="4">
        <v>0</v>
      </c>
      <c r="K23" s="4">
        <v>0</v>
      </c>
      <c r="L23" s="4">
        <f t="shared" si="0"/>
        <v>671.96</v>
      </c>
    </row>
    <row r="24" spans="1:12" hidden="1" outlineLevel="1" collapsed="1">
      <c r="A24" t="s">
        <v>31</v>
      </c>
      <c r="B24" s="4">
        <v>3743.72</v>
      </c>
      <c r="C24" s="4">
        <v>3489.86</v>
      </c>
      <c r="D24" s="4">
        <v>2366.65</v>
      </c>
      <c r="E24" s="4">
        <v>4458.62</v>
      </c>
      <c r="F24" s="4">
        <v>3196.61</v>
      </c>
      <c r="G24" s="4">
        <v>4513.3599999999997</v>
      </c>
      <c r="H24" s="4">
        <v>7092.7</v>
      </c>
      <c r="I24" s="4">
        <v>4538.97</v>
      </c>
      <c r="J24" s="4">
        <v>4854.54</v>
      </c>
      <c r="K24" s="4">
        <v>2816.58</v>
      </c>
      <c r="L24" s="4">
        <f t="shared" si="0"/>
        <v>41071.61</v>
      </c>
    </row>
    <row r="25" spans="1:12" collapsed="1">
      <c r="A25" s="5" t="s">
        <v>43</v>
      </c>
      <c r="B25" s="6">
        <v>26249.279999999999</v>
      </c>
      <c r="C25" s="6">
        <v>29695.23</v>
      </c>
      <c r="D25" s="6">
        <v>29941.49</v>
      </c>
      <c r="E25" s="6">
        <v>31378.54</v>
      </c>
      <c r="F25" s="6">
        <v>39619.589999999997</v>
      </c>
      <c r="G25" s="6">
        <v>36646.33</v>
      </c>
      <c r="H25" s="6">
        <v>26803.67</v>
      </c>
      <c r="I25" s="6">
        <v>30048.080000000002</v>
      </c>
      <c r="J25" s="6">
        <v>21800.06</v>
      </c>
      <c r="K25" s="6">
        <v>24123.27</v>
      </c>
      <c r="L25" s="6">
        <f t="shared" si="0"/>
        <v>296305.54000000004</v>
      </c>
    </row>
    <row r="26" spans="1:12" hidden="1" outlineLevel="1" collapsed="1">
      <c r="A26" t="s">
        <v>44</v>
      </c>
      <c r="B26" s="4">
        <v>17502.509999999998</v>
      </c>
      <c r="C26" s="4">
        <v>17742.759999999998</v>
      </c>
      <c r="D26" s="4">
        <v>20419.61</v>
      </c>
      <c r="E26" s="4">
        <v>19226.39</v>
      </c>
      <c r="F26" s="4">
        <v>17836.21</v>
      </c>
      <c r="G26" s="4">
        <v>17393.509999999998</v>
      </c>
      <c r="H26" s="4">
        <v>17432.939999999999</v>
      </c>
      <c r="I26" s="4">
        <v>17826.099999999999</v>
      </c>
      <c r="J26" s="4">
        <v>10103.66</v>
      </c>
      <c r="K26" s="4">
        <v>14519.68</v>
      </c>
      <c r="L26" s="4">
        <f t="shared" si="0"/>
        <v>170003.36999999997</v>
      </c>
    </row>
    <row r="27" spans="1:12" hidden="1" outlineLevel="1" collapsed="1">
      <c r="A27" t="s">
        <v>45</v>
      </c>
      <c r="B27" s="4">
        <v>2501.5300000000002</v>
      </c>
      <c r="C27" s="4">
        <v>1182.31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f t="shared" si="0"/>
        <v>3683.84</v>
      </c>
    </row>
    <row r="28" spans="1:12" hidden="1" outlineLevel="1" collapsed="1">
      <c r="A28" t="s">
        <v>46</v>
      </c>
      <c r="B28" s="4">
        <v>0</v>
      </c>
      <c r="C28" s="4">
        <v>2774.77</v>
      </c>
      <c r="D28" s="4">
        <v>769.48</v>
      </c>
      <c r="E28" s="4">
        <v>3806.15</v>
      </c>
      <c r="F28" s="4">
        <v>10747.23</v>
      </c>
      <c r="G28" s="4">
        <v>7517.41</v>
      </c>
      <c r="H28" s="4">
        <v>812.18</v>
      </c>
      <c r="I28" s="4">
        <v>948.66</v>
      </c>
      <c r="J28" s="4">
        <v>29.13</v>
      </c>
      <c r="K28" s="4">
        <v>757.45</v>
      </c>
      <c r="L28" s="4">
        <f t="shared" si="0"/>
        <v>28162.46</v>
      </c>
    </row>
    <row r="29" spans="1:12" hidden="1" outlineLevel="1" collapsed="1">
      <c r="A29" t="s">
        <v>47</v>
      </c>
      <c r="B29" s="4">
        <v>1982.71</v>
      </c>
      <c r="C29" s="4">
        <v>1887.64</v>
      </c>
      <c r="D29" s="4">
        <v>3545.52</v>
      </c>
      <c r="E29" s="4">
        <v>2758.97</v>
      </c>
      <c r="F29" s="4">
        <v>2577.6799999999998</v>
      </c>
      <c r="G29" s="4">
        <v>2899.35</v>
      </c>
      <c r="H29" s="4">
        <v>3004.36</v>
      </c>
      <c r="I29" s="4">
        <v>3039.1</v>
      </c>
      <c r="J29" s="4">
        <v>3159.22</v>
      </c>
      <c r="K29" s="4">
        <v>3089.94</v>
      </c>
      <c r="L29" s="4">
        <f t="shared" si="0"/>
        <v>27944.489999999998</v>
      </c>
    </row>
    <row r="30" spans="1:12" hidden="1" outlineLevel="1" collapsed="1">
      <c r="A30" t="s">
        <v>48</v>
      </c>
      <c r="B30" s="4">
        <v>2782.98</v>
      </c>
      <c r="C30" s="4">
        <v>2218.5500000000002</v>
      </c>
      <c r="D30" s="4">
        <v>2605.88</v>
      </c>
      <c r="E30" s="4">
        <v>2544.0300000000002</v>
      </c>
      <c r="F30" s="4">
        <v>4406.34</v>
      </c>
      <c r="G30" s="4">
        <v>4432.49</v>
      </c>
      <c r="H30" s="4">
        <v>2724.9</v>
      </c>
      <c r="I30" s="4">
        <v>3213.82</v>
      </c>
      <c r="J30" s="4">
        <v>3387.05</v>
      </c>
      <c r="K30" s="4">
        <v>3207.1</v>
      </c>
      <c r="L30" s="4">
        <f t="shared" si="0"/>
        <v>31523.14</v>
      </c>
    </row>
    <row r="31" spans="1:12" hidden="1" outlineLevel="1" collapsed="1">
      <c r="A31" t="s">
        <v>49</v>
      </c>
      <c r="B31" s="4">
        <v>0</v>
      </c>
      <c r="C31" s="4">
        <v>0</v>
      </c>
      <c r="D31" s="4">
        <v>33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2650</v>
      </c>
      <c r="K31" s="4">
        <v>0</v>
      </c>
      <c r="L31" s="4">
        <f t="shared" si="0"/>
        <v>2683</v>
      </c>
    </row>
    <row r="32" spans="1:12" hidden="1" outlineLevel="1" collapsed="1">
      <c r="A32" t="s">
        <v>50</v>
      </c>
      <c r="B32" s="4">
        <v>1423.3</v>
      </c>
      <c r="C32" s="4">
        <v>1743</v>
      </c>
      <c r="D32" s="4">
        <v>1914</v>
      </c>
      <c r="E32" s="4">
        <v>2669</v>
      </c>
      <c r="F32" s="4">
        <v>3739</v>
      </c>
      <c r="G32" s="4">
        <v>2584</v>
      </c>
      <c r="H32" s="4">
        <v>2728</v>
      </c>
      <c r="I32" s="4">
        <v>2563</v>
      </c>
      <c r="J32" s="4">
        <v>2471</v>
      </c>
      <c r="K32" s="4">
        <v>2549.1</v>
      </c>
      <c r="L32" s="4">
        <f t="shared" si="0"/>
        <v>24383.399999999998</v>
      </c>
    </row>
    <row r="33" spans="1:12" hidden="1" outlineLevel="1" collapsed="1">
      <c r="A33" t="s">
        <v>51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61.39</v>
      </c>
      <c r="I33" s="4">
        <v>0</v>
      </c>
      <c r="J33" s="4">
        <v>0</v>
      </c>
      <c r="K33" s="4">
        <v>0</v>
      </c>
      <c r="L33" s="4">
        <f t="shared" si="0"/>
        <v>61.39</v>
      </c>
    </row>
    <row r="34" spans="1:12" hidden="1" outlineLevel="1" collapsed="1">
      <c r="A34" t="s">
        <v>52</v>
      </c>
      <c r="B34" s="4">
        <v>0</v>
      </c>
      <c r="C34" s="4">
        <v>0</v>
      </c>
      <c r="D34" s="4">
        <v>0</v>
      </c>
      <c r="E34" s="4">
        <v>0</v>
      </c>
      <c r="F34" s="4">
        <v>219.56</v>
      </c>
      <c r="G34" s="4">
        <v>1757.9</v>
      </c>
      <c r="H34" s="4">
        <v>14.9</v>
      </c>
      <c r="I34" s="4">
        <v>2388</v>
      </c>
      <c r="J34" s="4">
        <v>0</v>
      </c>
      <c r="K34" s="4">
        <v>0</v>
      </c>
      <c r="L34" s="4">
        <f t="shared" si="0"/>
        <v>4380.3600000000006</v>
      </c>
    </row>
    <row r="35" spans="1:12" hidden="1" outlineLevel="1" collapsed="1">
      <c r="A35" t="s">
        <v>53</v>
      </c>
      <c r="B35" s="4">
        <v>56.25</v>
      </c>
      <c r="C35" s="4">
        <v>2146.1999999999998</v>
      </c>
      <c r="D35" s="4">
        <v>654</v>
      </c>
      <c r="E35" s="4">
        <v>374</v>
      </c>
      <c r="F35" s="4">
        <v>93.57</v>
      </c>
      <c r="G35" s="4">
        <v>61.67</v>
      </c>
      <c r="H35" s="4">
        <v>25</v>
      </c>
      <c r="I35" s="4">
        <v>69.400000000000006</v>
      </c>
      <c r="J35" s="4">
        <v>0</v>
      </c>
      <c r="K35" s="4">
        <v>0</v>
      </c>
      <c r="L35" s="4">
        <f t="shared" si="0"/>
        <v>3480.09</v>
      </c>
    </row>
    <row r="36" spans="1:12" collapsed="1">
      <c r="A36" s="5" t="s">
        <v>32</v>
      </c>
      <c r="B36" s="6">
        <v>93344.65</v>
      </c>
      <c r="C36" s="6">
        <v>77256.009999999995</v>
      </c>
      <c r="D36" s="6">
        <v>97742.18</v>
      </c>
      <c r="E36" s="6">
        <v>91801.7</v>
      </c>
      <c r="F36" s="6">
        <v>129232.87</v>
      </c>
      <c r="G36" s="6">
        <v>118651.52</v>
      </c>
      <c r="H36" s="6">
        <v>145024.25</v>
      </c>
      <c r="I36" s="6">
        <v>133186.19</v>
      </c>
      <c r="J36" s="6">
        <v>135848.9</v>
      </c>
      <c r="K36" s="6">
        <v>117294.34</v>
      </c>
      <c r="L36" s="6">
        <f t="shared" si="0"/>
        <v>1139382.6099999999</v>
      </c>
    </row>
    <row r="37" spans="1:12" hidden="1" outlineLevel="1" collapsed="1">
      <c r="A37" t="s">
        <v>34</v>
      </c>
      <c r="B37" s="4">
        <v>2105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39.9</v>
      </c>
      <c r="J37" s="4">
        <v>0</v>
      </c>
      <c r="K37" s="4">
        <v>0</v>
      </c>
      <c r="L37" s="4">
        <f t="shared" si="0"/>
        <v>2144.9</v>
      </c>
    </row>
    <row r="38" spans="1:12" hidden="1" outlineLevel="1" collapsed="1">
      <c r="A38" t="s">
        <v>33</v>
      </c>
      <c r="B38" s="4">
        <v>0</v>
      </c>
      <c r="C38" s="4">
        <v>0</v>
      </c>
      <c r="D38" s="4">
        <v>0</v>
      </c>
      <c r="E38" s="4">
        <v>0</v>
      </c>
      <c r="F38" s="4">
        <v>193</v>
      </c>
      <c r="G38" s="4">
        <v>0</v>
      </c>
      <c r="H38" s="4">
        <v>50</v>
      </c>
      <c r="I38" s="4">
        <v>4525</v>
      </c>
      <c r="J38" s="4">
        <v>6174.5</v>
      </c>
      <c r="K38" s="4">
        <v>4919</v>
      </c>
      <c r="L38" s="4">
        <f t="shared" si="0"/>
        <v>15861.5</v>
      </c>
    </row>
    <row r="39" spans="1:12" hidden="1" outlineLevel="1" collapsed="1">
      <c r="A39" t="s">
        <v>35</v>
      </c>
      <c r="B39" s="4">
        <v>6136.35</v>
      </c>
      <c r="C39" s="4">
        <v>7540.2</v>
      </c>
      <c r="D39" s="4">
        <v>7255.76</v>
      </c>
      <c r="E39" s="4">
        <v>9641.5</v>
      </c>
      <c r="F39" s="4">
        <v>12738.79</v>
      </c>
      <c r="G39" s="4">
        <v>11950.6</v>
      </c>
      <c r="H39" s="4">
        <v>16686.5</v>
      </c>
      <c r="I39" s="4">
        <v>14569.93</v>
      </c>
      <c r="J39" s="4">
        <v>12875.67</v>
      </c>
      <c r="K39" s="4">
        <v>12702.42</v>
      </c>
      <c r="L39" s="4">
        <f t="shared" si="0"/>
        <v>112097.72</v>
      </c>
    </row>
    <row r="40" spans="1:12" hidden="1" outlineLevel="1" collapsed="1">
      <c r="A40" t="s">
        <v>36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925.47</v>
      </c>
      <c r="K40" s="4">
        <v>0</v>
      </c>
      <c r="L40" s="4">
        <f t="shared" si="0"/>
        <v>925.47</v>
      </c>
    </row>
    <row r="41" spans="1:12" hidden="1" outlineLevel="1" collapsed="1">
      <c r="A41" t="s">
        <v>37</v>
      </c>
      <c r="B41" s="4">
        <v>67602.38</v>
      </c>
      <c r="C41" s="4">
        <v>54063.34</v>
      </c>
      <c r="D41" s="4">
        <v>73814.880000000005</v>
      </c>
      <c r="E41" s="4">
        <v>68045.7</v>
      </c>
      <c r="F41" s="4">
        <v>97729.45</v>
      </c>
      <c r="G41" s="4">
        <v>88763.27</v>
      </c>
      <c r="H41" s="4">
        <v>109336.92</v>
      </c>
      <c r="I41" s="4">
        <v>101254.56</v>
      </c>
      <c r="J41" s="4">
        <v>102498</v>
      </c>
      <c r="K41" s="4">
        <v>89386.62</v>
      </c>
      <c r="L41" s="4">
        <f t="shared" si="0"/>
        <v>852495.12</v>
      </c>
    </row>
    <row r="42" spans="1:12" hidden="1" outlineLevel="1" collapsed="1">
      <c r="A42" t="s">
        <v>38</v>
      </c>
      <c r="B42" s="4">
        <v>405.5</v>
      </c>
      <c r="C42" s="4">
        <v>438.5</v>
      </c>
      <c r="D42" s="4">
        <v>363</v>
      </c>
      <c r="E42" s="4">
        <v>307.5</v>
      </c>
      <c r="F42" s="4">
        <v>506</v>
      </c>
      <c r="G42" s="4">
        <v>1022</v>
      </c>
      <c r="H42" s="4">
        <v>2006.5</v>
      </c>
      <c r="I42" s="4">
        <v>1008.49</v>
      </c>
      <c r="J42" s="4">
        <v>737</v>
      </c>
      <c r="K42" s="4">
        <v>1095</v>
      </c>
      <c r="L42" s="4">
        <f t="shared" si="0"/>
        <v>7889.49</v>
      </c>
    </row>
    <row r="43" spans="1:12" hidden="1" outlineLevel="1" collapsed="1">
      <c r="A43" t="s">
        <v>39</v>
      </c>
      <c r="B43" s="4">
        <v>17095.419999999998</v>
      </c>
      <c r="C43" s="4">
        <v>15213.97</v>
      </c>
      <c r="D43" s="4">
        <v>16308.54</v>
      </c>
      <c r="E43" s="4">
        <v>13807</v>
      </c>
      <c r="F43" s="4">
        <v>18065.63</v>
      </c>
      <c r="G43" s="4">
        <v>16915.650000000001</v>
      </c>
      <c r="H43" s="4">
        <v>16944.330000000002</v>
      </c>
      <c r="I43" s="4">
        <v>11788.31</v>
      </c>
      <c r="J43" s="4">
        <v>12638.26</v>
      </c>
      <c r="K43" s="4">
        <v>9191.2999999999993</v>
      </c>
      <c r="L43" s="4">
        <f t="shared" si="0"/>
        <v>147968.40999999997</v>
      </c>
    </row>
    <row r="44" spans="1:12" collapsed="1">
      <c r="A44" s="5" t="s">
        <v>54</v>
      </c>
      <c r="B44" s="6">
        <v>48666.53</v>
      </c>
      <c r="C44" s="6">
        <v>50567.41</v>
      </c>
      <c r="D44" s="6">
        <v>55098.559999999998</v>
      </c>
      <c r="E44" s="6">
        <v>58613.33</v>
      </c>
      <c r="F44" s="6">
        <v>56482.559999999998</v>
      </c>
      <c r="G44" s="6">
        <v>60383.17</v>
      </c>
      <c r="H44" s="6">
        <v>52734.66</v>
      </c>
      <c r="I44" s="6">
        <v>58193.06</v>
      </c>
      <c r="J44" s="6">
        <v>54367.3</v>
      </c>
      <c r="K44" s="6">
        <v>58818.66</v>
      </c>
      <c r="L44" s="6">
        <f t="shared" si="0"/>
        <v>553925.24</v>
      </c>
    </row>
    <row r="45" spans="1:12" hidden="1" outlineLevel="1" collapsed="1">
      <c r="A45" t="s">
        <v>55</v>
      </c>
      <c r="B45" s="4">
        <v>5545.55</v>
      </c>
      <c r="C45" s="4">
        <v>4589.55</v>
      </c>
      <c r="D45" s="4">
        <v>4765.7299999999996</v>
      </c>
      <c r="E45" s="4">
        <v>5129.71</v>
      </c>
      <c r="F45" s="4">
        <v>4374.91</v>
      </c>
      <c r="G45" s="4">
        <v>5057.45</v>
      </c>
      <c r="H45" s="4">
        <v>5227.34</v>
      </c>
      <c r="I45" s="4">
        <v>5415.44</v>
      </c>
      <c r="J45" s="4">
        <v>5423.99</v>
      </c>
      <c r="K45" s="4">
        <v>6430.5</v>
      </c>
      <c r="L45" s="4">
        <f t="shared" si="0"/>
        <v>51960.170000000006</v>
      </c>
    </row>
    <row r="46" spans="1:12" hidden="1" outlineLevel="1" collapsed="1">
      <c r="A46" t="s">
        <v>56</v>
      </c>
      <c r="B46" s="4">
        <v>1999.62</v>
      </c>
      <c r="C46" s="4">
        <v>1834.12</v>
      </c>
      <c r="D46" s="4">
        <v>1838.78</v>
      </c>
      <c r="E46" s="4">
        <v>1615.22</v>
      </c>
      <c r="F46" s="4">
        <v>1804.58</v>
      </c>
      <c r="G46" s="4">
        <v>1814.9</v>
      </c>
      <c r="H46" s="4">
        <v>2190.4</v>
      </c>
      <c r="I46" s="4">
        <v>2412.14</v>
      </c>
      <c r="J46" s="4">
        <v>2710.08</v>
      </c>
      <c r="K46" s="4">
        <v>2014.58</v>
      </c>
      <c r="L46" s="4">
        <f t="shared" si="0"/>
        <v>20234.419999999998</v>
      </c>
    </row>
    <row r="47" spans="1:12" hidden="1" outlineLevel="1" collapsed="1">
      <c r="A47" t="s">
        <v>57</v>
      </c>
      <c r="B47" s="4">
        <v>24647</v>
      </c>
      <c r="C47" s="4">
        <v>24647</v>
      </c>
      <c r="D47" s="4">
        <v>24647</v>
      </c>
      <c r="E47" s="4">
        <v>24647</v>
      </c>
      <c r="F47" s="4">
        <v>24647</v>
      </c>
      <c r="G47" s="4">
        <v>24647</v>
      </c>
      <c r="H47" s="4">
        <v>24647</v>
      </c>
      <c r="I47" s="4">
        <v>25120.6</v>
      </c>
      <c r="J47" s="4">
        <v>22381.06</v>
      </c>
      <c r="K47" s="4">
        <v>25302.55</v>
      </c>
      <c r="L47" s="4">
        <f t="shared" si="0"/>
        <v>245333.21</v>
      </c>
    </row>
    <row r="48" spans="1:12" hidden="1" outlineLevel="1" collapsed="1">
      <c r="A48" t="s">
        <v>58</v>
      </c>
      <c r="B48" s="4">
        <v>0</v>
      </c>
      <c r="C48" s="4">
        <v>1451.31</v>
      </c>
      <c r="D48" s="4">
        <v>359.26</v>
      </c>
      <c r="E48" s="4">
        <v>3399.27</v>
      </c>
      <c r="F48" s="4">
        <v>475</v>
      </c>
      <c r="G48" s="4">
        <v>1675</v>
      </c>
      <c r="H48" s="4">
        <v>772.7</v>
      </c>
      <c r="I48" s="4">
        <v>2299.06</v>
      </c>
      <c r="J48" s="4">
        <v>0</v>
      </c>
      <c r="K48" s="4">
        <v>364.9</v>
      </c>
      <c r="L48" s="4">
        <f t="shared" si="0"/>
        <v>10796.5</v>
      </c>
    </row>
    <row r="49" spans="1:12" hidden="1" outlineLevel="1" collapsed="1">
      <c r="A49" t="s">
        <v>59</v>
      </c>
      <c r="B49" s="4">
        <v>110.78</v>
      </c>
      <c r="C49" s="4">
        <v>30.98</v>
      </c>
      <c r="D49" s="4">
        <v>139.97999999999999</v>
      </c>
      <c r="E49" s="4">
        <v>143.25</v>
      </c>
      <c r="F49" s="4">
        <v>145.41</v>
      </c>
      <c r="G49" s="4">
        <v>30.98</v>
      </c>
      <c r="H49" s="4">
        <v>413.14</v>
      </c>
      <c r="I49" s="4">
        <v>407.17</v>
      </c>
      <c r="J49" s="4">
        <v>407.17</v>
      </c>
      <c r="K49" s="4">
        <v>32.200000000000003</v>
      </c>
      <c r="L49" s="4">
        <f t="shared" si="0"/>
        <v>1861.0600000000002</v>
      </c>
    </row>
    <row r="50" spans="1:12" hidden="1" outlineLevel="1" collapsed="1">
      <c r="A50" t="s">
        <v>60</v>
      </c>
      <c r="B50" s="4">
        <v>327.33999999999997</v>
      </c>
      <c r="C50" s="4">
        <v>327.33999999999997</v>
      </c>
      <c r="D50" s="4">
        <v>327.33999999999997</v>
      </c>
      <c r="E50" s="4">
        <v>327.33999999999997</v>
      </c>
      <c r="F50" s="4">
        <v>327.33999999999997</v>
      </c>
      <c r="G50" s="4">
        <v>327.33999999999997</v>
      </c>
      <c r="H50" s="4">
        <v>327.33999999999997</v>
      </c>
      <c r="I50" s="4">
        <v>366.62</v>
      </c>
      <c r="J50" s="4">
        <v>733.24</v>
      </c>
      <c r="K50" s="4">
        <v>366.62</v>
      </c>
      <c r="L50" s="4">
        <f t="shared" si="0"/>
        <v>3757.8599999999997</v>
      </c>
    </row>
    <row r="51" spans="1:12" hidden="1" outlineLevel="1" collapsed="1">
      <c r="A51" t="s">
        <v>61</v>
      </c>
      <c r="B51" s="4">
        <v>0</v>
      </c>
      <c r="C51" s="4">
        <v>0</v>
      </c>
      <c r="D51" s="4">
        <v>1680.65</v>
      </c>
      <c r="E51" s="4">
        <v>0</v>
      </c>
      <c r="F51" s="4">
        <v>0</v>
      </c>
      <c r="G51" s="4">
        <v>0</v>
      </c>
      <c r="H51" s="4">
        <v>118</v>
      </c>
      <c r="I51" s="4">
        <v>756</v>
      </c>
      <c r="J51" s="4">
        <v>5386.9</v>
      </c>
      <c r="K51" s="4">
        <v>0</v>
      </c>
      <c r="L51" s="4">
        <f t="shared" si="0"/>
        <v>7941.5499999999993</v>
      </c>
    </row>
    <row r="52" spans="1:12" hidden="1" outlineLevel="1" collapsed="1">
      <c r="A52" t="s">
        <v>62</v>
      </c>
      <c r="B52" s="4">
        <v>0</v>
      </c>
      <c r="C52" s="4">
        <v>740</v>
      </c>
      <c r="D52" s="4">
        <v>340</v>
      </c>
      <c r="E52" s="4">
        <v>1273</v>
      </c>
      <c r="F52" s="4">
        <v>675</v>
      </c>
      <c r="G52" s="4">
        <v>250</v>
      </c>
      <c r="H52" s="4">
        <v>120</v>
      </c>
      <c r="I52" s="4">
        <v>1314.7</v>
      </c>
      <c r="J52" s="4">
        <v>2042.38</v>
      </c>
      <c r="K52" s="4">
        <v>2452.2399999999998</v>
      </c>
      <c r="L52" s="4">
        <f t="shared" si="0"/>
        <v>9207.32</v>
      </c>
    </row>
    <row r="53" spans="1:12" hidden="1" outlineLevel="1" collapsed="1">
      <c r="A53" t="s">
        <v>63</v>
      </c>
      <c r="B53" s="4">
        <v>20</v>
      </c>
      <c r="C53" s="4">
        <v>78</v>
      </c>
      <c r="D53" s="4">
        <v>45</v>
      </c>
      <c r="E53" s="4">
        <v>0</v>
      </c>
      <c r="F53" s="4">
        <v>0</v>
      </c>
      <c r="G53" s="4">
        <v>1390</v>
      </c>
      <c r="H53" s="4">
        <v>0</v>
      </c>
      <c r="I53" s="4">
        <v>1517.8</v>
      </c>
      <c r="J53" s="4">
        <v>2137.5</v>
      </c>
      <c r="K53" s="4">
        <v>506.89</v>
      </c>
      <c r="L53" s="4">
        <f t="shared" si="0"/>
        <v>5695.1900000000005</v>
      </c>
    </row>
    <row r="54" spans="1:12" hidden="1" outlineLevel="1" collapsed="1">
      <c r="A54" t="s">
        <v>64</v>
      </c>
      <c r="B54" s="4">
        <v>0</v>
      </c>
      <c r="C54" s="4">
        <v>32.99</v>
      </c>
      <c r="D54" s="4">
        <v>0</v>
      </c>
      <c r="E54" s="4">
        <v>260.92</v>
      </c>
      <c r="F54" s="4">
        <v>280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f t="shared" si="0"/>
        <v>573.91000000000008</v>
      </c>
    </row>
    <row r="55" spans="1:12" hidden="1" outlineLevel="1" collapsed="1">
      <c r="A55" t="s">
        <v>65</v>
      </c>
      <c r="B55" s="4">
        <v>1406.54</v>
      </c>
      <c r="C55" s="4">
        <v>2011.6</v>
      </c>
      <c r="D55" s="4">
        <v>1406.57</v>
      </c>
      <c r="E55" s="4">
        <v>605.05999999999995</v>
      </c>
      <c r="F55" s="4">
        <v>0</v>
      </c>
      <c r="G55" s="4">
        <v>0</v>
      </c>
      <c r="H55" s="4">
        <v>903.01</v>
      </c>
      <c r="I55" s="4">
        <v>905.69</v>
      </c>
      <c r="J55" s="4">
        <v>906.23</v>
      </c>
      <c r="K55" s="4">
        <v>906.23</v>
      </c>
      <c r="L55" s="4">
        <f t="shared" si="0"/>
        <v>9050.93</v>
      </c>
    </row>
    <row r="56" spans="1:12" hidden="1" outlineLevel="1" collapsed="1">
      <c r="A56" t="s">
        <v>66</v>
      </c>
      <c r="B56" s="4">
        <v>3284.31</v>
      </c>
      <c r="C56" s="4">
        <v>2548.5300000000002</v>
      </c>
      <c r="D56" s="4">
        <v>1311.14</v>
      </c>
      <c r="E56" s="4">
        <v>2636.29</v>
      </c>
      <c r="F56" s="4">
        <v>2123.0300000000002</v>
      </c>
      <c r="G56" s="4">
        <v>1850.04</v>
      </c>
      <c r="H56" s="4">
        <v>1963.26</v>
      </c>
      <c r="I56" s="4">
        <v>2040.93</v>
      </c>
      <c r="J56" s="4">
        <v>1964.55</v>
      </c>
      <c r="K56" s="4">
        <v>2781.38</v>
      </c>
      <c r="L56" s="4">
        <f t="shared" si="0"/>
        <v>22503.46</v>
      </c>
    </row>
    <row r="57" spans="1:12" hidden="1" outlineLevel="1" collapsed="1">
      <c r="A57" t="s">
        <v>67</v>
      </c>
      <c r="B57" s="4">
        <v>558.85</v>
      </c>
      <c r="C57" s="4">
        <v>1508.88</v>
      </c>
      <c r="D57" s="4">
        <v>638.67999999999995</v>
      </c>
      <c r="E57" s="4">
        <v>1199.23</v>
      </c>
      <c r="F57" s="4">
        <v>673.32</v>
      </c>
      <c r="G57" s="4">
        <v>757.49</v>
      </c>
      <c r="H57" s="4">
        <v>1203.56</v>
      </c>
      <c r="I57" s="4">
        <v>1018.4</v>
      </c>
      <c r="J57" s="4">
        <v>0</v>
      </c>
      <c r="K57" s="4">
        <v>1668.87</v>
      </c>
      <c r="L57" s="4">
        <f t="shared" si="0"/>
        <v>9227.2799999999988</v>
      </c>
    </row>
    <row r="58" spans="1:12" hidden="1" outlineLevel="1" collapsed="1">
      <c r="A58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525</v>
      </c>
      <c r="H58" s="4">
        <v>0</v>
      </c>
      <c r="I58" s="4">
        <v>0</v>
      </c>
      <c r="J58" s="4">
        <v>0</v>
      </c>
      <c r="K58" s="4">
        <v>0</v>
      </c>
      <c r="L58" s="4">
        <f t="shared" si="0"/>
        <v>525</v>
      </c>
    </row>
    <row r="59" spans="1:12" hidden="1" outlineLevel="1" collapsed="1">
      <c r="A59" t="s">
        <v>69</v>
      </c>
      <c r="B59" s="4">
        <v>316.07</v>
      </c>
      <c r="C59" s="4">
        <v>565.37</v>
      </c>
      <c r="D59" s="4">
        <v>215.6</v>
      </c>
      <c r="E59" s="4">
        <v>456.9</v>
      </c>
      <c r="F59" s="4">
        <v>0</v>
      </c>
      <c r="G59" s="4">
        <v>467.66</v>
      </c>
      <c r="H59" s="4">
        <v>231</v>
      </c>
      <c r="I59" s="4">
        <v>741.29</v>
      </c>
      <c r="J59" s="4">
        <v>39</v>
      </c>
      <c r="K59" s="4">
        <v>0</v>
      </c>
      <c r="L59" s="4">
        <f t="shared" si="0"/>
        <v>3032.8900000000003</v>
      </c>
    </row>
    <row r="60" spans="1:12" hidden="1" outlineLevel="1" collapsed="1">
      <c r="A60" t="s">
        <v>70</v>
      </c>
      <c r="B60" s="4">
        <v>85</v>
      </c>
      <c r="C60" s="4">
        <v>45</v>
      </c>
      <c r="D60" s="4">
        <v>114.65</v>
      </c>
      <c r="E60" s="4">
        <v>94</v>
      </c>
      <c r="F60" s="4">
        <v>123.8</v>
      </c>
      <c r="G60" s="4">
        <v>144.69999999999999</v>
      </c>
      <c r="H60" s="4">
        <v>295</v>
      </c>
      <c r="I60" s="4">
        <v>57.4</v>
      </c>
      <c r="J60" s="4">
        <v>45</v>
      </c>
      <c r="K60" s="4">
        <v>230</v>
      </c>
      <c r="L60" s="4">
        <f t="shared" si="0"/>
        <v>1234.55</v>
      </c>
    </row>
    <row r="61" spans="1:12" hidden="1" outlineLevel="1" collapsed="1">
      <c r="A61" t="s">
        <v>71</v>
      </c>
      <c r="B61" s="4">
        <v>2248.66</v>
      </c>
      <c r="C61" s="4">
        <v>2596.25</v>
      </c>
      <c r="D61" s="4">
        <v>5535.22</v>
      </c>
      <c r="E61" s="4">
        <v>2425.2800000000002</v>
      </c>
      <c r="F61" s="4">
        <v>2105.12</v>
      </c>
      <c r="G61" s="4">
        <v>7134.3</v>
      </c>
      <c r="H61" s="4">
        <v>2814.29</v>
      </c>
      <c r="I61" s="4">
        <v>4225.83</v>
      </c>
      <c r="J61" s="4">
        <v>159.80000000000001</v>
      </c>
      <c r="K61" s="4">
        <v>159.80000000000001</v>
      </c>
      <c r="L61" s="4">
        <f t="shared" si="0"/>
        <v>29404.550000000003</v>
      </c>
    </row>
    <row r="62" spans="1:12" hidden="1" outlineLevel="1" collapsed="1">
      <c r="A62" t="s">
        <v>72</v>
      </c>
      <c r="B62" s="4">
        <v>985.91</v>
      </c>
      <c r="C62" s="4">
        <v>3111.74</v>
      </c>
      <c r="D62" s="4">
        <v>6778.89</v>
      </c>
      <c r="E62" s="4">
        <v>6880.35</v>
      </c>
      <c r="F62" s="4">
        <v>13948.39</v>
      </c>
      <c r="G62" s="4">
        <v>8745.09</v>
      </c>
      <c r="H62" s="4">
        <v>6367.99</v>
      </c>
      <c r="I62" s="4">
        <v>4457.37</v>
      </c>
      <c r="J62" s="4">
        <v>4520.87</v>
      </c>
      <c r="K62" s="4">
        <v>274.33999999999997</v>
      </c>
      <c r="L62" s="4">
        <f t="shared" si="0"/>
        <v>56070.939999999995</v>
      </c>
    </row>
    <row r="63" spans="1:12" hidden="1" outlineLevel="1" collapsed="1">
      <c r="A63" t="s">
        <v>73</v>
      </c>
      <c r="B63" s="4">
        <v>2250</v>
      </c>
      <c r="C63" s="4">
        <v>2250</v>
      </c>
      <c r="D63" s="4">
        <v>2250</v>
      </c>
      <c r="E63" s="4">
        <v>2250</v>
      </c>
      <c r="F63" s="4">
        <v>2250</v>
      </c>
      <c r="G63" s="4">
        <v>2250</v>
      </c>
      <c r="H63" s="4">
        <v>2250</v>
      </c>
      <c r="I63" s="4">
        <v>2250</v>
      </c>
      <c r="J63" s="4">
        <v>2250</v>
      </c>
      <c r="K63" s="4">
        <v>2250</v>
      </c>
      <c r="L63" s="4">
        <f t="shared" si="0"/>
        <v>22500</v>
      </c>
    </row>
    <row r="64" spans="1:12" hidden="1" outlineLevel="1" collapsed="1">
      <c r="A64" t="s">
        <v>74</v>
      </c>
      <c r="B64" s="4">
        <v>600</v>
      </c>
      <c r="C64" s="4">
        <v>600</v>
      </c>
      <c r="D64" s="4">
        <v>600</v>
      </c>
      <c r="E64" s="4">
        <v>628.98</v>
      </c>
      <c r="F64" s="4">
        <v>628.98</v>
      </c>
      <c r="G64" s="4">
        <v>628.98</v>
      </c>
      <c r="H64" s="4">
        <v>628.98</v>
      </c>
      <c r="I64" s="4">
        <v>628.98</v>
      </c>
      <c r="J64" s="4">
        <v>631</v>
      </c>
      <c r="K64" s="4">
        <v>631</v>
      </c>
      <c r="L64" s="4">
        <f t="shared" si="0"/>
        <v>6206.9</v>
      </c>
    </row>
    <row r="65" spans="1:12" hidden="1" outlineLevel="1" collapsed="1">
      <c r="A65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1000</v>
      </c>
      <c r="H65" s="4">
        <v>0</v>
      </c>
      <c r="I65" s="4">
        <v>0</v>
      </c>
      <c r="J65" s="4">
        <v>0</v>
      </c>
      <c r="K65" s="4">
        <v>0</v>
      </c>
      <c r="L65" s="4">
        <f t="shared" si="0"/>
        <v>1000</v>
      </c>
    </row>
    <row r="66" spans="1:12" hidden="1" outlineLevel="1" collapsed="1">
      <c r="A66" t="s">
        <v>76</v>
      </c>
      <c r="B66" s="4">
        <v>261</v>
      </c>
      <c r="C66" s="4">
        <v>0</v>
      </c>
      <c r="D66" s="4">
        <v>261</v>
      </c>
      <c r="E66" s="4">
        <v>2790</v>
      </c>
      <c r="F66" s="4">
        <v>267</v>
      </c>
      <c r="G66" s="4">
        <v>0</v>
      </c>
      <c r="H66" s="4">
        <v>667.5</v>
      </c>
      <c r="I66" s="4">
        <v>0</v>
      </c>
      <c r="J66" s="4">
        <v>0</v>
      </c>
      <c r="K66" s="4">
        <v>267</v>
      </c>
      <c r="L66" s="4">
        <f t="shared" si="0"/>
        <v>4513.5</v>
      </c>
    </row>
    <row r="67" spans="1:12" hidden="1" outlineLevel="1" collapsed="1">
      <c r="A67" t="s">
        <v>77</v>
      </c>
      <c r="B67" s="4">
        <v>1151.06</v>
      </c>
      <c r="C67" s="4">
        <v>1151.06</v>
      </c>
      <c r="D67" s="4">
        <v>1297.3699999999999</v>
      </c>
      <c r="E67" s="4">
        <v>1199.83</v>
      </c>
      <c r="F67" s="4">
        <v>1199.83</v>
      </c>
      <c r="G67" s="4">
        <v>1199.83</v>
      </c>
      <c r="H67" s="4">
        <v>1199.83</v>
      </c>
      <c r="I67" s="4">
        <v>1199.83</v>
      </c>
      <c r="J67" s="4">
        <v>2399.66</v>
      </c>
      <c r="K67" s="4">
        <v>1199.83</v>
      </c>
      <c r="L67" s="4">
        <f t="shared" si="0"/>
        <v>13198.13</v>
      </c>
    </row>
    <row r="68" spans="1:12" hidden="1" outlineLevel="1" collapsed="1">
      <c r="A68" t="s">
        <v>78</v>
      </c>
      <c r="B68" s="4">
        <v>2324.9699999999998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f t="shared" si="0"/>
        <v>2324.9699999999998</v>
      </c>
    </row>
    <row r="69" spans="1:12" hidden="1" outlineLevel="1" collapsed="1">
      <c r="A69" t="s">
        <v>79</v>
      </c>
      <c r="B69" s="4">
        <v>41.87</v>
      </c>
      <c r="C69" s="4">
        <v>20.69</v>
      </c>
      <c r="D69" s="4">
        <v>18.690000000000001</v>
      </c>
      <c r="E69" s="4">
        <v>20.7</v>
      </c>
      <c r="F69" s="4">
        <v>20.03</v>
      </c>
      <c r="G69" s="4">
        <v>32.93</v>
      </c>
      <c r="H69" s="4">
        <v>41.32</v>
      </c>
      <c r="I69" s="4">
        <v>34.82</v>
      </c>
      <c r="J69" s="4">
        <v>41.41</v>
      </c>
      <c r="K69" s="4">
        <v>40.07</v>
      </c>
      <c r="L69" s="4">
        <f t="shared" si="0"/>
        <v>312.52999999999997</v>
      </c>
    </row>
    <row r="70" spans="1:12" hidden="1" outlineLevel="1" collapsed="1">
      <c r="A70" t="s">
        <v>80</v>
      </c>
      <c r="B70" s="4">
        <v>185</v>
      </c>
      <c r="C70" s="4">
        <v>0</v>
      </c>
      <c r="D70" s="4">
        <v>185</v>
      </c>
      <c r="E70" s="4">
        <v>185</v>
      </c>
      <c r="F70" s="4">
        <v>185</v>
      </c>
      <c r="G70" s="4">
        <v>185</v>
      </c>
      <c r="H70" s="4">
        <v>185</v>
      </c>
      <c r="I70" s="4">
        <v>185</v>
      </c>
      <c r="J70" s="4">
        <v>185</v>
      </c>
      <c r="K70" s="4">
        <v>10013.030000000001</v>
      </c>
      <c r="L70" s="4">
        <f t="shared" si="0"/>
        <v>11493.03</v>
      </c>
    </row>
    <row r="71" spans="1:12" hidden="1" outlineLevel="1" collapsed="1">
      <c r="A71" t="s">
        <v>81</v>
      </c>
      <c r="B71" s="4">
        <v>0</v>
      </c>
      <c r="C71" s="4">
        <v>0</v>
      </c>
      <c r="D71" s="4">
        <v>0.01</v>
      </c>
      <c r="E71" s="4">
        <v>0</v>
      </c>
      <c r="F71" s="4">
        <v>18.82</v>
      </c>
      <c r="G71" s="4">
        <v>4.4800000000000004</v>
      </c>
      <c r="H71" s="4">
        <v>0</v>
      </c>
      <c r="I71" s="4">
        <v>12.99</v>
      </c>
      <c r="J71" s="4">
        <v>2.46</v>
      </c>
      <c r="K71" s="4">
        <v>590.63</v>
      </c>
      <c r="L71" s="4">
        <f t="shared" si="0"/>
        <v>629.39</v>
      </c>
    </row>
    <row r="72" spans="1:12" hidden="1" outlineLevel="1" collapsed="1">
      <c r="A72" t="s">
        <v>82</v>
      </c>
      <c r="B72" s="4">
        <v>290</v>
      </c>
      <c r="C72" s="4">
        <v>400</v>
      </c>
      <c r="D72" s="4">
        <v>315</v>
      </c>
      <c r="E72" s="4">
        <v>446</v>
      </c>
      <c r="F72" s="4">
        <v>210</v>
      </c>
      <c r="G72" s="4">
        <v>265</v>
      </c>
      <c r="H72" s="4">
        <v>168</v>
      </c>
      <c r="I72" s="4">
        <v>825</v>
      </c>
      <c r="J72" s="4">
        <v>0</v>
      </c>
      <c r="K72" s="4">
        <v>336</v>
      </c>
      <c r="L72" s="4">
        <f t="shared" ref="L72:L114" si="1">SUM(B72:K72)</f>
        <v>3255</v>
      </c>
    </row>
    <row r="73" spans="1:12" hidden="1" outlineLevel="1" collapsed="1">
      <c r="A73" t="s">
        <v>83</v>
      </c>
      <c r="B73" s="4">
        <v>27</v>
      </c>
      <c r="C73" s="4">
        <v>27</v>
      </c>
      <c r="D73" s="4">
        <v>27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f t="shared" si="1"/>
        <v>81</v>
      </c>
    </row>
    <row r="74" spans="1:12" collapsed="1">
      <c r="A74" s="5" t="s">
        <v>84</v>
      </c>
      <c r="B74" s="6">
        <v>495</v>
      </c>
      <c r="C74" s="6">
        <v>3150</v>
      </c>
      <c r="D74" s="6">
        <v>3052</v>
      </c>
      <c r="E74" s="6">
        <v>4650</v>
      </c>
      <c r="F74" s="6">
        <v>2391.6999999999998</v>
      </c>
      <c r="G74" s="6">
        <v>1728.2</v>
      </c>
      <c r="H74" s="6">
        <v>1027</v>
      </c>
      <c r="I74" s="6">
        <v>4939.1899999999996</v>
      </c>
      <c r="J74" s="6">
        <v>3767.08</v>
      </c>
      <c r="K74" s="6">
        <v>4154.74</v>
      </c>
      <c r="L74" s="6">
        <f t="shared" si="1"/>
        <v>29354.909999999996</v>
      </c>
    </row>
    <row r="75" spans="1:12" hidden="1" outlineLevel="1" collapsed="1">
      <c r="A75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112</v>
      </c>
      <c r="L75" s="4">
        <f t="shared" si="1"/>
        <v>112</v>
      </c>
    </row>
    <row r="76" spans="1:12" hidden="1" outlineLevel="1" collapsed="1">
      <c r="A76" t="s">
        <v>86</v>
      </c>
      <c r="B76" s="4">
        <v>0</v>
      </c>
      <c r="C76" s="4">
        <v>0</v>
      </c>
      <c r="D76" s="4">
        <v>28</v>
      </c>
      <c r="E76" s="4">
        <v>0</v>
      </c>
      <c r="F76" s="4">
        <v>193.6</v>
      </c>
      <c r="G76" s="4">
        <v>1428.2</v>
      </c>
      <c r="H76" s="4">
        <v>40</v>
      </c>
      <c r="I76" s="4">
        <v>0</v>
      </c>
      <c r="J76" s="4">
        <v>0</v>
      </c>
      <c r="K76" s="4">
        <v>0</v>
      </c>
      <c r="L76" s="4">
        <f t="shared" si="1"/>
        <v>1689.8</v>
      </c>
    </row>
    <row r="77" spans="1:12" hidden="1" outlineLevel="1" collapsed="1">
      <c r="A77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f t="shared" si="1"/>
        <v>0</v>
      </c>
    </row>
    <row r="78" spans="1:12" hidden="1" outlineLevel="1" collapsed="1">
      <c r="A78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27</v>
      </c>
      <c r="G78" s="4">
        <v>150</v>
      </c>
      <c r="H78" s="4">
        <v>65</v>
      </c>
      <c r="I78" s="4">
        <v>189.07</v>
      </c>
      <c r="J78" s="4">
        <v>344.31</v>
      </c>
      <c r="K78" s="4">
        <v>352.74</v>
      </c>
      <c r="L78" s="4">
        <f t="shared" si="1"/>
        <v>1128.1199999999999</v>
      </c>
    </row>
    <row r="79" spans="1:12" hidden="1" outlineLevel="1" collapsed="1">
      <c r="A79" t="s">
        <v>89</v>
      </c>
      <c r="B79" s="4">
        <v>495</v>
      </c>
      <c r="C79" s="4">
        <v>150</v>
      </c>
      <c r="D79" s="4">
        <v>220</v>
      </c>
      <c r="E79" s="4">
        <v>150</v>
      </c>
      <c r="F79" s="4">
        <v>150</v>
      </c>
      <c r="G79" s="4">
        <v>150</v>
      </c>
      <c r="H79" s="4">
        <v>300</v>
      </c>
      <c r="I79" s="4">
        <v>4529.12</v>
      </c>
      <c r="J79" s="4">
        <v>522.77</v>
      </c>
      <c r="K79" s="4">
        <v>790</v>
      </c>
      <c r="L79" s="4">
        <f t="shared" si="1"/>
        <v>7456.8899999999994</v>
      </c>
    </row>
    <row r="80" spans="1:12" hidden="1" outlineLevel="1" collapsed="1">
      <c r="A80" t="s">
        <v>90</v>
      </c>
      <c r="B80" s="4">
        <v>0</v>
      </c>
      <c r="C80" s="4">
        <v>3000</v>
      </c>
      <c r="D80" s="4">
        <v>2500</v>
      </c>
      <c r="E80" s="4">
        <v>2500</v>
      </c>
      <c r="F80" s="4">
        <v>2021.1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f t="shared" si="1"/>
        <v>10021.1</v>
      </c>
    </row>
    <row r="81" spans="1:12" hidden="1" outlineLevel="1" collapsed="1">
      <c r="A81" t="s">
        <v>91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221</v>
      </c>
      <c r="J81" s="4">
        <v>0</v>
      </c>
      <c r="K81" s="4">
        <v>0</v>
      </c>
      <c r="L81" s="4">
        <f t="shared" si="1"/>
        <v>221</v>
      </c>
    </row>
    <row r="82" spans="1:12" hidden="1" outlineLevel="1" collapsed="1">
      <c r="A82" t="s">
        <v>92</v>
      </c>
      <c r="B82" s="4">
        <v>0</v>
      </c>
      <c r="C82" s="4">
        <v>0</v>
      </c>
      <c r="D82" s="4">
        <v>304</v>
      </c>
      <c r="E82" s="4">
        <v>0</v>
      </c>
      <c r="F82" s="4">
        <v>0</v>
      </c>
      <c r="G82" s="4">
        <v>0</v>
      </c>
      <c r="H82" s="4">
        <v>228</v>
      </c>
      <c r="I82" s="4">
        <v>0</v>
      </c>
      <c r="J82" s="4">
        <v>0</v>
      </c>
      <c r="K82" s="4">
        <v>0</v>
      </c>
      <c r="L82" s="4">
        <f t="shared" si="1"/>
        <v>532</v>
      </c>
    </row>
    <row r="83" spans="1:12" hidden="1" outlineLevel="1" collapsed="1">
      <c r="A83" t="s">
        <v>93</v>
      </c>
      <c r="B83" s="4">
        <v>0</v>
      </c>
      <c r="C83" s="4">
        <v>0</v>
      </c>
      <c r="D83" s="4">
        <v>0</v>
      </c>
      <c r="E83" s="4">
        <v>2000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f t="shared" si="1"/>
        <v>2000</v>
      </c>
    </row>
    <row r="84" spans="1:12" hidden="1" outlineLevel="1" collapsed="1">
      <c r="A84" t="s">
        <v>94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394</v>
      </c>
      <c r="I84" s="4">
        <v>0</v>
      </c>
      <c r="J84" s="4">
        <v>2900</v>
      </c>
      <c r="K84" s="4">
        <v>2900</v>
      </c>
      <c r="L84" s="4">
        <f t="shared" si="1"/>
        <v>6194</v>
      </c>
    </row>
    <row r="85" spans="1:12" collapsed="1">
      <c r="A85" s="5" t="s">
        <v>95</v>
      </c>
      <c r="B85" s="6">
        <v>749.88</v>
      </c>
      <c r="C85" s="6">
        <v>756.77</v>
      </c>
      <c r="D85" s="6">
        <v>756.77</v>
      </c>
      <c r="E85" s="6">
        <v>748.83</v>
      </c>
      <c r="F85" s="6">
        <v>748.83</v>
      </c>
      <c r="G85" s="6">
        <v>382.7</v>
      </c>
      <c r="H85" s="6">
        <v>1879.14</v>
      </c>
      <c r="I85" s="6">
        <v>501.71</v>
      </c>
      <c r="J85" s="6">
        <v>382.7</v>
      </c>
      <c r="K85" s="6">
        <v>382.7</v>
      </c>
      <c r="L85" s="6">
        <f t="shared" si="1"/>
        <v>7290.03</v>
      </c>
    </row>
    <row r="86" spans="1:12" hidden="1" outlineLevel="1" collapsed="1">
      <c r="A86" t="s">
        <v>96</v>
      </c>
      <c r="B86" s="4">
        <v>383.78</v>
      </c>
      <c r="C86" s="4">
        <v>374.07</v>
      </c>
      <c r="D86" s="4">
        <v>374.07</v>
      </c>
      <c r="E86" s="4">
        <v>366.13</v>
      </c>
      <c r="F86" s="4">
        <v>366.13</v>
      </c>
      <c r="G86" s="4">
        <v>0</v>
      </c>
      <c r="H86" s="4">
        <v>121.44</v>
      </c>
      <c r="I86" s="4">
        <v>119.01</v>
      </c>
      <c r="J86" s="4">
        <v>0</v>
      </c>
      <c r="K86" s="4">
        <v>0</v>
      </c>
      <c r="L86" s="4">
        <f t="shared" si="1"/>
        <v>2104.63</v>
      </c>
    </row>
    <row r="87" spans="1:12" hidden="1" outlineLevel="1" collapsed="1">
      <c r="A87" t="s">
        <v>97</v>
      </c>
      <c r="B87" s="4">
        <v>366.1</v>
      </c>
      <c r="C87" s="4">
        <v>382.7</v>
      </c>
      <c r="D87" s="4">
        <v>382.7</v>
      </c>
      <c r="E87" s="4">
        <v>382.7</v>
      </c>
      <c r="F87" s="4">
        <v>382.7</v>
      </c>
      <c r="G87" s="4">
        <v>382.7</v>
      </c>
      <c r="H87" s="4">
        <v>1757.7</v>
      </c>
      <c r="I87" s="4">
        <v>382.7</v>
      </c>
      <c r="J87" s="4">
        <v>382.7</v>
      </c>
      <c r="K87" s="4">
        <v>382.7</v>
      </c>
      <c r="L87" s="4">
        <f t="shared" si="1"/>
        <v>5185.3999999999996</v>
      </c>
    </row>
    <row r="88" spans="1:12">
      <c r="A88" t="s">
        <v>106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f t="shared" si="1"/>
        <v>0</v>
      </c>
    </row>
    <row r="89" spans="1:12">
      <c r="A89" s="8" t="s">
        <v>128</v>
      </c>
      <c r="B89" s="7">
        <v>19442.939999999999</v>
      </c>
      <c r="C89" s="9">
        <v>-23781.8</v>
      </c>
      <c r="D89" s="7">
        <v>40452.949999999997</v>
      </c>
      <c r="E89" s="7">
        <v>13142.19</v>
      </c>
      <c r="F89" s="7">
        <v>52327</v>
      </c>
      <c r="G89" s="7">
        <v>129005.99</v>
      </c>
      <c r="H89" s="7">
        <v>54303.3</v>
      </c>
      <c r="I89" s="7">
        <v>12161.86</v>
      </c>
      <c r="J89" s="7">
        <v>21051.03</v>
      </c>
      <c r="K89" s="9">
        <v>-16461.240000000002</v>
      </c>
      <c r="L89" s="7">
        <f t="shared" si="1"/>
        <v>301644.21999999997</v>
      </c>
    </row>
    <row r="90" spans="1:12" collapsed="1">
      <c r="A90" s="5" t="s">
        <v>100</v>
      </c>
      <c r="B90" s="6">
        <v>106.2</v>
      </c>
      <c r="C90" s="6">
        <v>902.74</v>
      </c>
      <c r="D90" s="6">
        <v>175.4</v>
      </c>
      <c r="E90" s="6">
        <v>358.77</v>
      </c>
      <c r="F90" s="6">
        <v>976.77</v>
      </c>
      <c r="G90" s="6">
        <v>978.38</v>
      </c>
      <c r="H90" s="6">
        <v>851.31</v>
      </c>
      <c r="I90" s="6">
        <v>393.11</v>
      </c>
      <c r="J90" s="6">
        <v>270.01</v>
      </c>
      <c r="K90" s="6">
        <v>256.79000000000002</v>
      </c>
      <c r="L90" s="6">
        <f t="shared" si="1"/>
        <v>5269.48</v>
      </c>
    </row>
    <row r="91" spans="1:12" hidden="1" outlineLevel="1" collapsed="1">
      <c r="A91" t="s">
        <v>101</v>
      </c>
      <c r="B91" s="4">
        <v>1.64</v>
      </c>
      <c r="C91" s="4">
        <v>1.34</v>
      </c>
      <c r="D91" s="4">
        <v>0.2</v>
      </c>
      <c r="E91" s="4">
        <v>2.35</v>
      </c>
      <c r="F91" s="4">
        <v>1.06</v>
      </c>
      <c r="G91" s="4">
        <v>0.25</v>
      </c>
      <c r="H91" s="4">
        <v>0.65</v>
      </c>
      <c r="I91" s="4">
        <v>1.31</v>
      </c>
      <c r="J91" s="4">
        <v>19.53</v>
      </c>
      <c r="K91" s="4">
        <v>0.12</v>
      </c>
      <c r="L91" s="4">
        <f t="shared" si="1"/>
        <v>28.450000000000003</v>
      </c>
    </row>
    <row r="92" spans="1:12" hidden="1" outlineLevel="1" collapsed="1">
      <c r="A92" t="s">
        <v>102</v>
      </c>
      <c r="B92" s="4">
        <v>104.56</v>
      </c>
      <c r="C92" s="4">
        <v>901.4</v>
      </c>
      <c r="D92" s="4">
        <v>175.2</v>
      </c>
      <c r="E92" s="4">
        <v>356.42</v>
      </c>
      <c r="F92" s="4">
        <v>975.71</v>
      </c>
      <c r="G92" s="4">
        <v>978.13</v>
      </c>
      <c r="H92" s="4">
        <v>850.66</v>
      </c>
      <c r="I92" s="4">
        <v>391.8</v>
      </c>
      <c r="J92" s="4">
        <v>250.48</v>
      </c>
      <c r="K92" s="4">
        <v>256.67</v>
      </c>
      <c r="L92" s="4">
        <f t="shared" si="1"/>
        <v>5241.03</v>
      </c>
    </row>
    <row r="93" spans="1:12" collapsed="1">
      <c r="A93" s="5" t="s">
        <v>103</v>
      </c>
      <c r="B93" s="6">
        <v>1111.3699999999999</v>
      </c>
      <c r="C93" s="6">
        <v>1123.02</v>
      </c>
      <c r="D93" s="6">
        <v>1351.83</v>
      </c>
      <c r="E93" s="6">
        <v>1624.94</v>
      </c>
      <c r="F93" s="6">
        <v>1717.38</v>
      </c>
      <c r="G93" s="6">
        <v>1783.83</v>
      </c>
      <c r="H93" s="6">
        <v>1773.64</v>
      </c>
      <c r="I93" s="6">
        <v>1796.36</v>
      </c>
      <c r="J93" s="6">
        <v>1737.94</v>
      </c>
      <c r="K93" s="6">
        <v>1889.74</v>
      </c>
      <c r="L93" s="6">
        <f t="shared" si="1"/>
        <v>15910.05</v>
      </c>
    </row>
    <row r="94" spans="1:12" hidden="1" outlineLevel="1" collapsed="1">
      <c r="A94" t="s">
        <v>104</v>
      </c>
      <c r="B94" s="4">
        <v>107.06</v>
      </c>
      <c r="C94" s="4">
        <v>117.84</v>
      </c>
      <c r="D94" s="4">
        <v>346.65</v>
      </c>
      <c r="E94" s="4">
        <v>579.03</v>
      </c>
      <c r="F94" s="4">
        <v>671.47</v>
      </c>
      <c r="G94" s="4">
        <v>737.92</v>
      </c>
      <c r="H94" s="4">
        <v>727.73</v>
      </c>
      <c r="I94" s="4">
        <v>750.45</v>
      </c>
      <c r="J94" s="4">
        <v>692.03</v>
      </c>
      <c r="K94" s="4">
        <v>843.83</v>
      </c>
      <c r="L94" s="4">
        <f t="shared" si="1"/>
        <v>5574.0099999999993</v>
      </c>
    </row>
    <row r="95" spans="1:12" hidden="1" outlineLevel="1" collapsed="1">
      <c r="A95" t="s">
        <v>105</v>
      </c>
      <c r="B95" s="4">
        <v>1004.31</v>
      </c>
      <c r="C95" s="4">
        <v>1005.18</v>
      </c>
      <c r="D95" s="4">
        <v>1005.18</v>
      </c>
      <c r="E95" s="4">
        <v>1045.9100000000001</v>
      </c>
      <c r="F95" s="4">
        <v>1045.9100000000001</v>
      </c>
      <c r="G95" s="4">
        <v>1045.9100000000001</v>
      </c>
      <c r="H95" s="4">
        <v>1045.9100000000001</v>
      </c>
      <c r="I95" s="4">
        <v>1045.9100000000001</v>
      </c>
      <c r="J95" s="4">
        <v>1045.9100000000001</v>
      </c>
      <c r="K95" s="4">
        <v>1045.9100000000001</v>
      </c>
      <c r="L95" s="4">
        <f t="shared" si="1"/>
        <v>10336.039999999999</v>
      </c>
    </row>
    <row r="96" spans="1:12" collapsed="1">
      <c r="A96" s="5" t="s">
        <v>121</v>
      </c>
      <c r="B96" s="6">
        <v>0</v>
      </c>
      <c r="C96" s="6">
        <v>386.9</v>
      </c>
      <c r="D96" s="6">
        <v>0</v>
      </c>
      <c r="E96" s="6">
        <v>0</v>
      </c>
      <c r="F96" s="6">
        <v>1540</v>
      </c>
      <c r="G96" s="6">
        <v>1575.2</v>
      </c>
      <c r="H96" s="6">
        <v>0</v>
      </c>
      <c r="I96" s="6">
        <v>461.39</v>
      </c>
      <c r="J96" s="6">
        <v>0</v>
      </c>
      <c r="K96" s="6">
        <v>0</v>
      </c>
      <c r="L96" s="6">
        <f t="shared" si="1"/>
        <v>3963.4900000000002</v>
      </c>
    </row>
    <row r="97" spans="1:12" hidden="1" outlineLevel="1" collapsed="1">
      <c r="A97" t="s">
        <v>122</v>
      </c>
      <c r="B97" s="4">
        <v>0</v>
      </c>
      <c r="C97" s="4">
        <v>386.9</v>
      </c>
      <c r="D97" s="4">
        <v>0</v>
      </c>
      <c r="E97" s="4">
        <v>0</v>
      </c>
      <c r="F97" s="4">
        <v>1540</v>
      </c>
      <c r="G97" s="4">
        <v>1575.2</v>
      </c>
      <c r="H97" s="4">
        <v>0</v>
      </c>
      <c r="I97" s="4">
        <v>461.39</v>
      </c>
      <c r="J97" s="4">
        <v>0</v>
      </c>
      <c r="K97" s="4">
        <v>0</v>
      </c>
      <c r="L97" s="4">
        <f t="shared" si="1"/>
        <v>3963.4900000000002</v>
      </c>
    </row>
    <row r="98" spans="1:12" collapsed="1">
      <c r="A98" s="5" t="s">
        <v>123</v>
      </c>
      <c r="B98" s="6">
        <v>0</v>
      </c>
      <c r="C98" s="6">
        <v>205</v>
      </c>
      <c r="D98" s="6">
        <v>0</v>
      </c>
      <c r="E98" s="6">
        <v>0</v>
      </c>
      <c r="F98" s="6">
        <v>1540</v>
      </c>
      <c r="G98" s="6">
        <v>1575.2</v>
      </c>
      <c r="H98" s="6">
        <v>0</v>
      </c>
      <c r="I98" s="6">
        <v>0</v>
      </c>
      <c r="J98" s="6">
        <v>0</v>
      </c>
      <c r="K98" s="6">
        <v>0</v>
      </c>
      <c r="L98" s="6">
        <f t="shared" si="1"/>
        <v>3320.2</v>
      </c>
    </row>
    <row r="99" spans="1:12" hidden="1" outlineLevel="1" collapsed="1">
      <c r="A99" t="s">
        <v>124</v>
      </c>
      <c r="B99" s="4">
        <v>0</v>
      </c>
      <c r="C99" s="4">
        <v>205</v>
      </c>
      <c r="D99" s="4">
        <v>0</v>
      </c>
      <c r="E99" s="4">
        <v>0</v>
      </c>
      <c r="F99" s="4">
        <v>1540</v>
      </c>
      <c r="G99" s="4">
        <v>1575.2</v>
      </c>
      <c r="H99" s="4">
        <v>0</v>
      </c>
      <c r="I99" s="4">
        <v>0</v>
      </c>
      <c r="J99" s="4">
        <v>0</v>
      </c>
      <c r="K99" s="4">
        <v>0</v>
      </c>
      <c r="L99" s="4">
        <f t="shared" si="1"/>
        <v>3320.2</v>
      </c>
    </row>
    <row r="100" spans="1:12">
      <c r="A100" s="8" t="s">
        <v>129</v>
      </c>
      <c r="B100" s="9">
        <v>-1005.17</v>
      </c>
      <c r="C100" s="9">
        <v>-38.380000000000003</v>
      </c>
      <c r="D100" s="9">
        <v>-1176.43</v>
      </c>
      <c r="E100" s="9">
        <v>-1266.17</v>
      </c>
      <c r="F100" s="9">
        <v>-740.61</v>
      </c>
      <c r="G100" s="9">
        <v>-805.45</v>
      </c>
      <c r="H100" s="9">
        <v>-922.33</v>
      </c>
      <c r="I100" s="9">
        <v>-941.86</v>
      </c>
      <c r="J100" s="9">
        <v>-1467.93</v>
      </c>
      <c r="K100" s="9">
        <v>-1632.95</v>
      </c>
      <c r="L100" s="9">
        <f t="shared" si="1"/>
        <v>-9997.2800000000007</v>
      </c>
    </row>
    <row r="101" spans="1:12" collapsed="1">
      <c r="A101" s="5" t="s">
        <v>109</v>
      </c>
      <c r="B101" s="6">
        <v>3293.02</v>
      </c>
      <c r="C101" s="6">
        <v>1054.5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687.5</v>
      </c>
      <c r="K101" s="6">
        <v>376.35</v>
      </c>
      <c r="L101" s="6">
        <f t="shared" si="1"/>
        <v>5411.3700000000008</v>
      </c>
    </row>
    <row r="102" spans="1:12" hidden="1" outlineLevel="1" collapsed="1">
      <c r="A102" t="s">
        <v>110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687.5</v>
      </c>
      <c r="K102" s="4">
        <v>0</v>
      </c>
      <c r="L102" s="4">
        <f t="shared" si="1"/>
        <v>687.5</v>
      </c>
    </row>
    <row r="103" spans="1:12" hidden="1" outlineLevel="1" collapsed="1">
      <c r="A103" t="s">
        <v>111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42.06</v>
      </c>
      <c r="L103" s="4">
        <f t="shared" si="1"/>
        <v>42.06</v>
      </c>
    </row>
    <row r="104" spans="1:12" hidden="1" outlineLevel="1" collapsed="1">
      <c r="A104" t="s">
        <v>112</v>
      </c>
      <c r="B104" s="4">
        <v>3293.02</v>
      </c>
      <c r="C104" s="4">
        <v>1054.5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334.29</v>
      </c>
      <c r="L104" s="4">
        <f t="shared" si="1"/>
        <v>4681.8100000000004</v>
      </c>
    </row>
    <row r="105" spans="1:12" collapsed="1">
      <c r="A105" s="5" t="s">
        <v>113</v>
      </c>
      <c r="B105" s="6">
        <v>1837.17</v>
      </c>
      <c r="C105" s="6">
        <v>3262.73</v>
      </c>
      <c r="D105" s="6">
        <v>6451.36</v>
      </c>
      <c r="E105" s="6">
        <v>7232.66</v>
      </c>
      <c r="F105" s="6">
        <v>11064.87</v>
      </c>
      <c r="G105" s="6">
        <v>9723.7800000000007</v>
      </c>
      <c r="H105" s="6">
        <v>7883.75</v>
      </c>
      <c r="I105" s="6">
        <v>33679.14</v>
      </c>
      <c r="J105" s="6">
        <v>12174.7</v>
      </c>
      <c r="K105" s="6">
        <v>6435.84</v>
      </c>
      <c r="L105" s="6">
        <f t="shared" si="1"/>
        <v>99745.999999999985</v>
      </c>
    </row>
    <row r="106" spans="1:12" hidden="1" outlineLevel="1" collapsed="1">
      <c r="A106" t="s">
        <v>114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1338.64</v>
      </c>
      <c r="K106" s="4">
        <v>2531.61</v>
      </c>
      <c r="L106" s="4">
        <f t="shared" si="1"/>
        <v>3870.25</v>
      </c>
    </row>
    <row r="107" spans="1:12" hidden="1" outlineLevel="1" collapsed="1">
      <c r="A107" t="s">
        <v>115</v>
      </c>
      <c r="B107" s="4">
        <v>1837.17</v>
      </c>
      <c r="C107" s="4">
        <v>0</v>
      </c>
      <c r="D107" s="4">
        <v>174.64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200</v>
      </c>
      <c r="K107" s="4">
        <v>0</v>
      </c>
      <c r="L107" s="4">
        <f t="shared" si="1"/>
        <v>2211.81</v>
      </c>
    </row>
    <row r="108" spans="1:12" hidden="1" outlineLevel="1" collapsed="1">
      <c r="A108" t="s">
        <v>116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178.56</v>
      </c>
      <c r="H108" s="4">
        <v>116</v>
      </c>
      <c r="I108" s="4">
        <v>117.8</v>
      </c>
      <c r="J108" s="4">
        <v>0</v>
      </c>
      <c r="K108" s="4">
        <v>329.9</v>
      </c>
      <c r="L108" s="4">
        <f t="shared" si="1"/>
        <v>742.26</v>
      </c>
    </row>
    <row r="109" spans="1:12" hidden="1" outlineLevel="1" collapsed="1">
      <c r="A109" t="s">
        <v>117</v>
      </c>
      <c r="B109" s="4">
        <v>0</v>
      </c>
      <c r="C109" s="4">
        <v>0</v>
      </c>
      <c r="D109" s="4">
        <v>2985.07</v>
      </c>
      <c r="E109" s="4">
        <v>3903.42</v>
      </c>
      <c r="F109" s="4">
        <v>7703.78</v>
      </c>
      <c r="G109" s="4">
        <v>6141.93</v>
      </c>
      <c r="H109" s="4">
        <v>4326.93</v>
      </c>
      <c r="I109" s="4">
        <v>4614.33</v>
      </c>
      <c r="J109" s="4">
        <v>6646.29</v>
      </c>
      <c r="K109" s="4">
        <v>378.99</v>
      </c>
      <c r="L109" s="4">
        <f t="shared" si="1"/>
        <v>36700.74</v>
      </c>
    </row>
    <row r="110" spans="1:12" hidden="1" outlineLevel="1" collapsed="1">
      <c r="A110" t="s">
        <v>118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462.54</v>
      </c>
      <c r="K110" s="4">
        <v>0</v>
      </c>
      <c r="L110" s="4">
        <f t="shared" si="1"/>
        <v>462.54</v>
      </c>
    </row>
    <row r="111" spans="1:12" hidden="1" outlineLevel="1" collapsed="1">
      <c r="A111" t="s">
        <v>119</v>
      </c>
      <c r="B111" s="4">
        <v>0</v>
      </c>
      <c r="C111" s="4">
        <v>3262.73</v>
      </c>
      <c r="D111" s="4">
        <v>3291.65</v>
      </c>
      <c r="E111" s="4">
        <v>3329.24</v>
      </c>
      <c r="F111" s="4">
        <v>3361.09</v>
      </c>
      <c r="G111" s="4">
        <v>3403.29</v>
      </c>
      <c r="H111" s="4">
        <v>3440.82</v>
      </c>
      <c r="I111" s="4">
        <v>3482.87</v>
      </c>
      <c r="J111" s="4">
        <v>3527.23</v>
      </c>
      <c r="K111" s="4">
        <v>3135.34</v>
      </c>
      <c r="L111" s="4">
        <f t="shared" si="1"/>
        <v>30234.26</v>
      </c>
    </row>
    <row r="112" spans="1:12" hidden="1" outlineLevel="1" collapsed="1">
      <c r="A112" t="s">
        <v>120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25464.14</v>
      </c>
      <c r="J112" s="4">
        <v>0</v>
      </c>
      <c r="K112" s="4">
        <v>60</v>
      </c>
      <c r="L112" s="4">
        <f t="shared" si="1"/>
        <v>25524.14</v>
      </c>
    </row>
    <row r="113" spans="1:12">
      <c r="A113" s="8" t="s">
        <v>130</v>
      </c>
      <c r="B113" s="7">
        <v>1455.85</v>
      </c>
      <c r="C113" s="9">
        <v>-2208.23</v>
      </c>
      <c r="D113" s="9">
        <v>-6451.36</v>
      </c>
      <c r="E113" s="9">
        <v>-7232.66</v>
      </c>
      <c r="F113" s="9">
        <v>-11064.87</v>
      </c>
      <c r="G113" s="9">
        <v>-9723.7800000000007</v>
      </c>
      <c r="H113" s="9">
        <v>-7883.75</v>
      </c>
      <c r="I113" s="9">
        <v>-33679.14</v>
      </c>
      <c r="J113" s="9">
        <v>-11487.2</v>
      </c>
      <c r="K113" s="9">
        <v>-6059.49</v>
      </c>
      <c r="L113" s="9">
        <f t="shared" si="1"/>
        <v>-94334.63</v>
      </c>
    </row>
    <row r="114" spans="1:12">
      <c r="A114" s="8" t="s">
        <v>131</v>
      </c>
      <c r="B114" s="7">
        <v>19893.62</v>
      </c>
      <c r="C114" s="9">
        <v>-26028.41</v>
      </c>
      <c r="D114" s="7">
        <v>32825.160000000003</v>
      </c>
      <c r="E114" s="7">
        <v>4643.3599999999997</v>
      </c>
      <c r="F114" s="7">
        <v>40521.519999999997</v>
      </c>
      <c r="G114" s="7">
        <v>118476.76</v>
      </c>
      <c r="H114" s="7">
        <v>45497.22</v>
      </c>
      <c r="I114" s="9">
        <v>-22459.14</v>
      </c>
      <c r="J114" s="7">
        <v>8095.9</v>
      </c>
      <c r="K114" s="9">
        <v>-24153.68</v>
      </c>
      <c r="L114" s="7">
        <f t="shared" si="1"/>
        <v>197312.31000000003</v>
      </c>
    </row>
    <row r="115" spans="1:12">
      <c r="A115" t="s">
        <v>132</v>
      </c>
      <c r="B115" s="4">
        <v>49145.67</v>
      </c>
      <c r="C115" s="4">
        <v>68854.289999999994</v>
      </c>
      <c r="D115" s="4">
        <v>42825.88</v>
      </c>
      <c r="E115" s="4">
        <v>75466.039999999994</v>
      </c>
      <c r="F115" s="4">
        <v>79924.399999999994</v>
      </c>
      <c r="G115" s="4">
        <v>120260.92</v>
      </c>
      <c r="H115" s="4">
        <v>238552.68</v>
      </c>
      <c r="I115" s="4">
        <v>283864.90000000002</v>
      </c>
      <c r="J115" s="4">
        <v>261220.76</v>
      </c>
      <c r="K115" s="4">
        <v>269131.65999999997</v>
      </c>
      <c r="L115" s="4"/>
    </row>
    <row r="116" spans="1:12">
      <c r="A116" t="s">
        <v>133</v>
      </c>
      <c r="B116" s="4">
        <v>68854.289999999994</v>
      </c>
      <c r="C116" s="4">
        <v>42825.88</v>
      </c>
      <c r="D116" s="4">
        <v>75466.039999999994</v>
      </c>
      <c r="E116" s="4">
        <v>79924.399999999994</v>
      </c>
      <c r="F116" s="4">
        <v>120260.92</v>
      </c>
      <c r="G116" s="4">
        <v>238552.68</v>
      </c>
      <c r="H116" s="4">
        <v>283864.90000000002</v>
      </c>
      <c r="I116" s="4">
        <v>261220.76</v>
      </c>
      <c r="J116" s="4">
        <v>269131.65999999997</v>
      </c>
      <c r="K116" s="4">
        <v>234964.95</v>
      </c>
      <c r="L116" s="4"/>
    </row>
  </sheetData>
  <mergeCells count="3">
    <mergeCell ref="C1:L1"/>
    <mergeCell ref="C2:L2"/>
    <mergeCell ref="A4:L4"/>
  </mergeCells>
  <pageMargins left="0.511811024" right="0.511811024" top="0.78740157499999996" bottom="0.78740157499999996" header="0.31496062000000002" footer="0.31496062000000002"/>
  <ignoredErrors>
    <ignoredError sqref="C2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907b81-1631-4e8c-baf2-98cccfa29402">
      <Terms xmlns="http://schemas.microsoft.com/office/infopath/2007/PartnerControls"/>
    </lcf76f155ced4ddcb4097134ff3c332f>
    <TaxCatchAll xmlns="80e5ccf1-b4b0-4165-a79d-bc34f4187b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8CD23FA914124CA703543F153EFEE2" ma:contentTypeVersion="19" ma:contentTypeDescription="Create a new document." ma:contentTypeScope="" ma:versionID="da0fecd8963cb9b51508877322e1c380">
  <xsd:schema xmlns:xsd="http://www.w3.org/2001/XMLSchema" xmlns:xs="http://www.w3.org/2001/XMLSchema" xmlns:p="http://schemas.microsoft.com/office/2006/metadata/properties" xmlns:ns2="b1907b81-1631-4e8c-baf2-98cccfa29402" xmlns:ns3="80e5ccf1-b4b0-4165-a79d-bc34f4187b84" targetNamespace="http://schemas.microsoft.com/office/2006/metadata/properties" ma:root="true" ma:fieldsID="e2efaf576e3da561022e95fd8e9a9669" ns2:_="" ns3:_="">
    <xsd:import namespace="b1907b81-1631-4e8c-baf2-98cccfa29402"/>
    <xsd:import namespace="80e5ccf1-b4b0-4165-a79d-bc34f4187b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07b81-1631-4e8c-baf2-98cccfa29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e33dd2-816a-4bcc-9a3c-3ac028015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5ccf1-b4b0-4165-a79d-bc34f4187b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4196f4-fd78-4a1e-9f26-ea9bf4b81a0f}" ma:internalName="TaxCatchAll" ma:showField="CatchAllData" ma:web="80e5ccf1-b4b0-4165-a79d-bc34f4187b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F9590-C7C9-494F-AF05-327B77232B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56BCD-BF16-4731-9466-6B84DF55AC1E}">
  <ds:schemaRefs>
    <ds:schemaRef ds:uri="http://schemas.microsoft.com/office/2006/metadata/properties"/>
    <ds:schemaRef ds:uri="http://schemas.microsoft.com/office/infopath/2007/PartnerControls"/>
    <ds:schemaRef ds:uri="b1907b81-1631-4e8c-baf2-98cccfa29402"/>
    <ds:schemaRef ds:uri="80e5ccf1-b4b0-4165-a79d-bc34f4187b84"/>
  </ds:schemaRefs>
</ds:datastoreItem>
</file>

<file path=customXml/itemProps3.xml><?xml version="1.0" encoding="utf-8"?>
<ds:datastoreItem xmlns:ds="http://schemas.openxmlformats.org/officeDocument/2006/customXml" ds:itemID="{6BC9A41F-09A6-4E2C-A8D3-1BD37C92E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Gusmao</cp:lastModifiedBy>
  <dcterms:modified xsi:type="dcterms:W3CDTF">2025-11-11T16:48:15Z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0x010100EE8CD23FA914124CA703543F153EFEE2</vt:lpwstr>
  </property>
  <property fmtid="{D5CDD505-2E9C-101B-9397-08002B2CF9AE}" pid="3" name="MediaServiceImageTags">
    <vt:lpwstr/>
  </property>
</Properties>
</file>